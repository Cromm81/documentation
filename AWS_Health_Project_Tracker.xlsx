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$\Ubuntu\home\boaengine\clawd\"/>
    </mc:Choice>
  </mc:AlternateContent>
  <xr:revisionPtr revIDLastSave="0" documentId="13_ncr:1_{BC84C1E5-9ECA-4FCA-9135-CD513603B57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shboard" sheetId="1" r:id="rId1"/>
    <sheet name="Project Overview" sheetId="2" r:id="rId2"/>
    <sheet name="Risk Register" sheetId="3" r:id="rId3"/>
    <sheet name="Control List" sheetId="4" r:id="rId4"/>
    <sheet name="Resources and Personnel" sheetId="5" r:id="rId5"/>
    <sheet name="RACI Matrix" sheetId="6" r:id="rId6"/>
    <sheet name="Stack" sheetId="7" r:id="rId7"/>
    <sheet name="Documentation" sheetId="8" r:id="rId8"/>
    <sheet name="Change Lo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8" i="3"/>
  <c r="F7" i="3"/>
  <c r="F6" i="3"/>
  <c r="F5" i="3"/>
  <c r="F4" i="3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<sst xmlns="http://schemas.openxmlformats.org/spreadsheetml/2006/main" count="1180" uniqueCount="513">
  <si>
    <t>Project Overview — AWS Health Notification Remediation</t>
  </si>
  <si>
    <t>Update Status and % Complete weekly. Use dropdowns for Phase, Owner, Priority and Status.</t>
  </si>
  <si>
    <t>#</t>
  </si>
  <si>
    <t>Phase</t>
  </si>
  <si>
    <t>Task</t>
  </si>
  <si>
    <t>Assigned To</t>
  </si>
  <si>
    <t>Priority</t>
  </si>
  <si>
    <t>Status</t>
  </si>
  <si>
    <t>% Done</t>
  </si>
  <si>
    <t>Start</t>
  </si>
  <si>
    <t>Due</t>
  </si>
  <si>
    <t>Dependencies</t>
  </si>
  <si>
    <t>Requested By</t>
  </si>
  <si>
    <t>Technology</t>
  </si>
  <si>
    <t>Team</t>
  </si>
  <si>
    <t>Notes</t>
  </si>
  <si>
    <t>Build</t>
  </si>
  <si>
    <t>Azure DevOps Organisation &amp; Project setup</t>
  </si>
  <si>
    <t>Cloud Engineer</t>
  </si>
  <si>
    <t>P1 - Critical</t>
  </si>
  <si>
    <t>Not Started</t>
  </si>
  <si>
    <t>2025-03-01</t>
  </si>
  <si>
    <t>2025-03-07</t>
  </si>
  <si>
    <t>Create ADO org, project, repos and branch policies</t>
  </si>
  <si>
    <t>Azure Container Registry (ACR) provisioning</t>
  </si>
  <si>
    <t>2025-03-05</t>
  </si>
  <si>
    <t>2025-03-10</t>
  </si>
  <si>
    <t>Task 1</t>
  </si>
  <si>
    <t>Enable geo-replication and private endpoint</t>
  </si>
  <si>
    <t>AKS cluster provisioning — system node pool</t>
  </si>
  <si>
    <t>2025-03-08</t>
  </si>
  <si>
    <t>2025-03-20</t>
  </si>
  <si>
    <t>Task 2</t>
  </si>
  <si>
    <t>RBAC enabled, private cluster, CNI networking</t>
  </si>
  <si>
    <t>AKS user node pools — workload sizing</t>
  </si>
  <si>
    <t>P2 - High</t>
  </si>
  <si>
    <t>2025-03-15</t>
  </si>
  <si>
    <t>2025-03-22</t>
  </si>
  <si>
    <t>Task 3</t>
  </si>
  <si>
    <t>Separate pools per workload type; autoscale enabled</t>
  </si>
  <si>
    <t>Azure Virtual Network (VNet) and subnet design</t>
  </si>
  <si>
    <t>Hub-spoke topology; dedicated AKS subnet</t>
  </si>
  <si>
    <t>Azure Firewall — policy and rule collection groups</t>
  </si>
  <si>
    <t>Security Architect</t>
  </si>
  <si>
    <t>Task 5</t>
  </si>
  <si>
    <t>Egress rules for AKS, ACR, Key Vault, ADO agents</t>
  </si>
  <si>
    <t>Network Security Groups (NSGs) per subnet</t>
  </si>
  <si>
    <t>2025-03-14</t>
  </si>
  <si>
    <t>Deny-all default; allow only required ports</t>
  </si>
  <si>
    <t>Private Endpoints — ACR, Key Vault, Service Bus</t>
  </si>
  <si>
    <t>2025-03-12</t>
  </si>
  <si>
    <t>2025-03-19</t>
  </si>
  <si>
    <t>Tasks 5-7</t>
  </si>
  <si>
    <t>Disable public access after PE creation</t>
  </si>
  <si>
    <t>Azure Key Vault provisioning and access policies</t>
  </si>
  <si>
    <t>Soft-delete, purge protection enabled; RBAC auth mode</t>
  </si>
  <si>
    <t>Azure Service Bus namespace and topics</t>
  </si>
  <si>
    <t>2025-03-21</t>
  </si>
  <si>
    <t>Task 8</t>
  </si>
  <si>
    <t>Premium tier for VNet integration; health event routing</t>
  </si>
  <si>
    <t>ADO self-hosted agent pool on AKS</t>
  </si>
  <si>
    <t>2025-03-27</t>
  </si>
  <si>
    <t>Tasks 3,6</t>
  </si>
  <si>
    <t>Agents run as pods; access to ACR and Key Vault</t>
  </si>
  <si>
    <t>Helm chart development — application workloads</t>
  </si>
  <si>
    <t>Developer</t>
  </si>
  <si>
    <t>2025-04-04</t>
  </si>
  <si>
    <t>Tasks 3,9</t>
  </si>
  <si>
    <t>Parameterise per environment; secrets from Key Vault</t>
  </si>
  <si>
    <t>Infrastructure as Code — Terraform modules</t>
  </si>
  <si>
    <t>2025-03-28</t>
  </si>
  <si>
    <t>Modules: AKS, ACR, Firewall, VNet, KV, Sentinel</t>
  </si>
  <si>
    <t>Terraform remote state — Azure Storage Account</t>
  </si>
  <si>
    <t>State locking via blob lease; versioning enabled</t>
  </si>
  <si>
    <t>Application</t>
  </si>
  <si>
    <t>ADO Pipeline — CI build and container image publish</t>
  </si>
  <si>
    <t>2025-04-01</t>
  </si>
  <si>
    <t>2025-04-10</t>
  </si>
  <si>
    <t>Tasks 2,11</t>
  </si>
  <si>
    <t>YAML pipeline; image scanning gate before push to ACR</t>
  </si>
  <si>
    <t>ADO Pipeline — CD deploy to AKS via Helm</t>
  </si>
  <si>
    <t>2025-04-05</t>
  </si>
  <si>
    <t>2025-04-14</t>
  </si>
  <si>
    <t>Task 15</t>
  </si>
  <si>
    <t>Blue-green or rolling; approval gate for prod</t>
  </si>
  <si>
    <t>ADO Pipeline — Terraform plan/apply with approval gate</t>
  </si>
  <si>
    <t>Task 13</t>
  </si>
  <si>
    <t>Separate pipelines per environment</t>
  </si>
  <si>
    <t>Container image hardening — base image standards</t>
  </si>
  <si>
    <t>2025-03-25</t>
  </si>
  <si>
    <t>Distroless or minimal base; no root user</t>
  </si>
  <si>
    <t>Kubernetes manifests — resource limits and requests</t>
  </si>
  <si>
    <t>P3 - Medium</t>
  </si>
  <si>
    <t>Task 12</t>
  </si>
  <si>
    <t>Set CPU/memory limits on all containers</t>
  </si>
  <si>
    <t>Kubernetes RBAC — service accounts and role bindings</t>
  </si>
  <si>
    <t>Least privilege; no cluster-admin for workloads</t>
  </si>
  <si>
    <t>Workload Identity — Azure AD pod identity</t>
  </si>
  <si>
    <t>Replace service principal secrets with managed identity</t>
  </si>
  <si>
    <t>Ingress controller — Application Gateway / NGINX</t>
  </si>
  <si>
    <t>Tasks 3,7</t>
  </si>
  <si>
    <t>TLS termination; WAF policy attached</t>
  </si>
  <si>
    <t>Horizontal Pod Autoscaler (HPA) configuration</t>
  </si>
  <si>
    <t>2025-04-17</t>
  </si>
  <si>
    <t>Task 19</t>
  </si>
  <si>
    <t>CPU and memory based scaling per workload</t>
  </si>
  <si>
    <t>Multi-environment config — Dev / Non-Prod / Prod</t>
  </si>
  <si>
    <t>Separate namespaces or clusters per env</t>
  </si>
  <si>
    <t>Security</t>
  </si>
  <si>
    <t>Azure Entra ID — groups, roles, and RBAC assignments</t>
  </si>
  <si>
    <t>No direct user assignments; use groups only</t>
  </si>
  <si>
    <t>Azure Policy — deny non-compliant resource deployments</t>
  </si>
  <si>
    <t>Compliance Officer</t>
  </si>
  <si>
    <t>Task 25</t>
  </si>
  <si>
    <t>Built-in initiatives: CIS, NIST, Protected B</t>
  </si>
  <si>
    <t>Microsoft Defender for Cloud — all plans enabled</t>
  </si>
  <si>
    <t>2025-03-17</t>
  </si>
  <si>
    <t>Enable Defender for Containers, Key Vault, DNS, ARM</t>
  </si>
  <si>
    <t>Microsoft Defender for Containers — AKS integration</t>
  </si>
  <si>
    <t>2025-03-24</t>
  </si>
  <si>
    <t>Tasks 3,27</t>
  </si>
  <si>
    <t>Runtime threat detection; image vulnerability scanning</t>
  </si>
  <si>
    <t>Microsoft Sentinel — workspace and data connectors</t>
  </si>
  <si>
    <t>Connect: AAD, Defender, AKS, Firewall, Activity Log</t>
  </si>
  <si>
    <t>Sentinel — Analytics rules and MITRE ATT&amp;CK mapping</t>
  </si>
  <si>
    <t>2025-04-07</t>
  </si>
  <si>
    <t>Task 29</t>
  </si>
  <si>
    <t>Enable Fusion, anomaly rules; custom KQL rules for AKS</t>
  </si>
  <si>
    <t>Sentinel — Playbooks (Logic Apps) for auto-remediation</t>
  </si>
  <si>
    <t>2025-04-18</t>
  </si>
  <si>
    <t>Task 30</t>
  </si>
  <si>
    <t>Auto-close low severity; notify on P1 incidents</t>
  </si>
  <si>
    <t>Vulnerability management — Defender CSPM remediation</t>
  </si>
  <si>
    <t>Tasks 27,28</t>
  </si>
  <si>
    <t>Prioritise critical/high findings pre-go-live</t>
  </si>
  <si>
    <t>Secret rotation policy — Key Vault certs and secrets</t>
  </si>
  <si>
    <t>Task 9</t>
  </si>
  <si>
    <t>Auto-rotation; alert on expiry &lt; 30 days</t>
  </si>
  <si>
    <t>DDoS Protection Standard — on hub VNet</t>
  </si>
  <si>
    <t>Enable on hub VNet; configure alerts</t>
  </si>
  <si>
    <t>Privileged Identity Management (PIM) — JIT access</t>
  </si>
  <si>
    <t>No standing privileged access; require justification</t>
  </si>
  <si>
    <t>Operationalisation</t>
  </si>
  <si>
    <t>Azure Monitor — Log Analytics workspace setup</t>
  </si>
  <si>
    <t>Centralised workspace; 90-day retention minimum</t>
  </si>
  <si>
    <t>Diagnostic settings — all resources to Log Analytics</t>
  </si>
  <si>
    <t>Task 36</t>
  </si>
  <si>
    <t>AKS, Firewall, Key Vault, Service Bus, ACR</t>
  </si>
  <si>
    <t>Azure Monitor Alerts — AKS cluster health</t>
  </si>
  <si>
    <t>2025-03-31</t>
  </si>
  <si>
    <t>Tasks 36,37</t>
  </si>
  <si>
    <t>Node not ready, pod crash loop, OOM kill alerts</t>
  </si>
  <si>
    <t>Azure Monitor Alerts — Firewall and NSG flow logs</t>
  </si>
  <si>
    <t>Alert on denied traffic spikes</t>
  </si>
  <si>
    <t>Application Insights — APM instrumentation</t>
  </si>
  <si>
    <t>SDK or auto-instrumentation per workload</t>
  </si>
  <si>
    <t>Azure Monitor Workbooks — operational dashboard</t>
  </si>
  <si>
    <t>Tasks 36-39</t>
  </si>
  <si>
    <t>AKS, Firewall, Defender, Sentinel summary</t>
  </si>
  <si>
    <t>Runbook — AKS node drain and cordon procedure</t>
  </si>
  <si>
    <t>2025-04-21</t>
  </si>
  <si>
    <t>Runbook — Key Vault secret expiry response</t>
  </si>
  <si>
    <t>Runbook — Sentinel incident triage and escalation</t>
  </si>
  <si>
    <t>On-call rotation and escalation path defined</t>
  </si>
  <si>
    <t>Project Lead</t>
  </si>
  <si>
    <t>PagerDuty or ADO notification integration</t>
  </si>
  <si>
    <t>Compliance</t>
  </si>
  <si>
    <t>Protected B control mapping to Azure services</t>
  </si>
  <si>
    <t>Map ITSG-33 controls to Azure Policy, Defender, Sentinel</t>
  </si>
  <si>
    <t>Azure Policy compliance report — baseline assessment</t>
  </si>
  <si>
    <t>Task 26</t>
  </si>
  <si>
    <t>Identify non-compliant resources pre-go-live</t>
  </si>
  <si>
    <t>Defender CSPM — regulatory compliance dashboard</t>
  </si>
  <si>
    <t>Task 27</t>
  </si>
  <si>
    <t>Enable NIST 800-53, CIS Azure benchmarks</t>
  </si>
  <si>
    <t>Audit log retention — 1 year minimum</t>
  </si>
  <si>
    <t>Activity log, AAD sign-in, AKS audit logs</t>
  </si>
  <si>
    <t>Data residency validation — Canada regions only</t>
  </si>
  <si>
    <t>Canada Central primary; Canada East DR</t>
  </si>
  <si>
    <t>Risk acceptance sign-off — residual risks</t>
  </si>
  <si>
    <t>2025-04-28</t>
  </si>
  <si>
    <t>Tasks 46-50</t>
  </si>
  <si>
    <t>Penetration test — pre-production sign-off</t>
  </si>
  <si>
    <t>2025-05-05</t>
  </si>
  <si>
    <t>Tasks 25-35</t>
  </si>
  <si>
    <t>Third-party or internal red team</t>
  </si>
  <si>
    <t>Documentation</t>
  </si>
  <si>
    <t>Build doc — AKS cluster architecture and design</t>
  </si>
  <si>
    <t>Tech Writer</t>
  </si>
  <si>
    <t>2025-04-25</t>
  </si>
  <si>
    <t>Build doc — Azure Firewall rule set and topology</t>
  </si>
  <si>
    <t>Task 6</t>
  </si>
  <si>
    <t>Build doc — Terraform module catalogue</t>
  </si>
  <si>
    <t>Build doc — ADO pipeline design and approval gates</t>
  </si>
  <si>
    <t>Tasks 15-17</t>
  </si>
  <si>
    <t>Build doc — Entra ID RBAC and PIM configuration</t>
  </si>
  <si>
    <t>Tasks 25,35</t>
  </si>
  <si>
    <t>Ops runbook — AKS upgrade procedure</t>
  </si>
  <si>
    <t>2025-04-30</t>
  </si>
  <si>
    <t>Ops runbook — Sentinel incident response playbook</t>
  </si>
  <si>
    <t>Task 44</t>
  </si>
  <si>
    <t>Ops runbook — Disaster recovery and failover steps</t>
  </si>
  <si>
    <t>Canada Central to Canada East failover procedure</t>
  </si>
  <si>
    <t>Architecture overview diagram — full solution</t>
  </si>
  <si>
    <t>2025-05-02</t>
  </si>
  <si>
    <t>All Build</t>
  </si>
  <si>
    <t>Visio or draw.io; include network, identity, monitoring</t>
  </si>
  <si>
    <t>End-user guide — ADO pipeline usage and approvals</t>
  </si>
  <si>
    <t>P4 - Low</t>
  </si>
  <si>
    <t>2025-05-07</t>
  </si>
  <si>
    <t>Azure DevOps / AKS Deployment Project — Dashboard</t>
  </si>
  <si>
    <t>Last Updated: March 06, 2026</t>
  </si>
  <si>
    <t>Owner</t>
  </si>
  <si>
    <t>% Complete</t>
  </si>
  <si>
    <t>Start Date</t>
  </si>
  <si>
    <t>End Date</t>
  </si>
  <si>
    <t>Open Tasks</t>
  </si>
  <si>
    <t>Blocked</t>
  </si>
  <si>
    <t>TBD</t>
  </si>
  <si>
    <t>PHASE LEGEND</t>
  </si>
  <si>
    <t>STATUS LEGEND</t>
  </si>
  <si>
    <t>PRIORITY LEGEND</t>
  </si>
  <si>
    <t>In Progress</t>
  </si>
  <si>
    <t>Complete</t>
  </si>
  <si>
    <t>At Risk</t>
  </si>
  <si>
    <t>Risk Register</t>
  </si>
  <si>
    <t>Risk ID</t>
  </si>
  <si>
    <t>Risk Description</t>
  </si>
  <si>
    <t>Likelihood</t>
  </si>
  <si>
    <t>Impact</t>
  </si>
  <si>
    <t>Risk Score</t>
  </si>
  <si>
    <t>Mitigation</t>
  </si>
  <si>
    <t>R001</t>
  </si>
  <si>
    <t>Lambda not triggered by Health events</t>
  </si>
  <si>
    <t>Medium</t>
  </si>
  <si>
    <t>High</t>
  </si>
  <si>
    <t>Update EventBridge pattern</t>
  </si>
  <si>
    <t>Open</t>
  </si>
  <si>
    <t>R002</t>
  </si>
  <si>
    <t>Overprivileged IAM roles</t>
  </si>
  <si>
    <t>Low</t>
  </si>
  <si>
    <t>Enforce least privilege</t>
  </si>
  <si>
    <t>R003</t>
  </si>
  <si>
    <t>Protected B controls not met</t>
  </si>
  <si>
    <t>Map all controls before deployment</t>
  </si>
  <si>
    <t>R004</t>
  </si>
  <si>
    <t>Multi-account deployment failure</t>
  </si>
  <si>
    <t>Test in non-prod first</t>
  </si>
  <si>
    <t>R005</t>
  </si>
  <si>
    <t>No alerting on Lambda failures</t>
  </si>
  <si>
    <t>DLQ + CloudWatch alarm</t>
  </si>
  <si>
    <t>R006</t>
  </si>
  <si>
    <t>Runbooks not maintained</t>
  </si>
  <si>
    <t>Assign doc owner per phase</t>
  </si>
  <si>
    <t>Control List — Protected B &amp; AWS Security Controls</t>
  </si>
  <si>
    <t>Control ID</t>
  </si>
  <si>
    <t>Category</t>
  </si>
  <si>
    <t>Control Description</t>
  </si>
  <si>
    <t>Implementation Status</t>
  </si>
  <si>
    <t>Evidence Required</t>
  </si>
  <si>
    <t>Due Date</t>
  </si>
  <si>
    <t>C001</t>
  </si>
  <si>
    <t>Access Control</t>
  </si>
  <si>
    <t>Least privilege IAM roles</t>
  </si>
  <si>
    <t>IAM policy JSON</t>
  </si>
  <si>
    <t>C002</t>
  </si>
  <si>
    <t>MFA enforced on all accounts</t>
  </si>
  <si>
    <t>IAM report</t>
  </si>
  <si>
    <t>C003</t>
  </si>
  <si>
    <t>Audit &amp; Logging</t>
  </si>
  <si>
    <t>CloudTrail enabled all regions</t>
  </si>
  <si>
    <t>CloudTrail config</t>
  </si>
  <si>
    <t>C004</t>
  </si>
  <si>
    <t>CloudWatch log retention &gt;= 90 days</t>
  </si>
  <si>
    <t>Log group config</t>
  </si>
  <si>
    <t>C005</t>
  </si>
  <si>
    <t>Data Protection</t>
  </si>
  <si>
    <t>KMS encryption for SNS topics</t>
  </si>
  <si>
    <t>KMS key policy</t>
  </si>
  <si>
    <t>C006</t>
  </si>
  <si>
    <t>SES TLS enforced</t>
  </si>
  <si>
    <t>SES config</t>
  </si>
  <si>
    <t>C007</t>
  </si>
  <si>
    <t>Incident Response</t>
  </si>
  <si>
    <t>DLQ configured on Lambda</t>
  </si>
  <si>
    <t>Lambda config</t>
  </si>
  <si>
    <t>C008</t>
  </si>
  <si>
    <t>Runbook documented and tested</t>
  </si>
  <si>
    <t>Runbook doc</t>
  </si>
  <si>
    <t>C009</t>
  </si>
  <si>
    <t>Vulnerability Mgmt</t>
  </si>
  <si>
    <t>Lambda code scanning in CI/CD</t>
  </si>
  <si>
    <t>CI/CD pipeline</t>
  </si>
  <si>
    <t>C010</t>
  </si>
  <si>
    <t>Protected B data classification</t>
  </si>
  <si>
    <t>Classification doc</t>
  </si>
  <si>
    <t>C011</t>
  </si>
  <si>
    <t>Network</t>
  </si>
  <si>
    <t>VPC endpoints where applicable</t>
  </si>
  <si>
    <t>VPC config</t>
  </si>
  <si>
    <t>C012</t>
  </si>
  <si>
    <t>Change Mgmt</t>
  </si>
  <si>
    <t>All changes via approved pipeline</t>
  </si>
  <si>
    <t>Pipeline config</t>
  </si>
  <si>
    <t>Resources and Personnel</t>
  </si>
  <si>
    <t>Name</t>
  </si>
  <si>
    <t>Role</t>
  </si>
  <si>
    <t>Phase Ownership</t>
  </si>
  <si>
    <t>AWS Account Access</t>
  </si>
  <si>
    <t>Availability</t>
  </si>
  <si>
    <t>Contact</t>
  </si>
  <si>
    <t>Cloud Ops</t>
  </si>
  <si>
    <t>All Phases</t>
  </si>
  <si>
    <t>Prod / Non-Prod / Dev</t>
  </si>
  <si>
    <t>Full-time</t>
  </si>
  <si>
    <t>Infrastructure</t>
  </si>
  <si>
    <t>Build, Application</t>
  </si>
  <si>
    <t>Prod / Non-Prod</t>
  </si>
  <si>
    <t>Security, Compliance</t>
  </si>
  <si>
    <t>Non-Prod</t>
  </si>
  <si>
    <t>Part-time</t>
  </si>
  <si>
    <t>Risk &amp; Compliance</t>
  </si>
  <si>
    <t>Read-only</t>
  </si>
  <si>
    <t>Non-Prod / Dev</t>
  </si>
  <si>
    <t>Technical Writer</t>
  </si>
  <si>
    <t>RACI Matrix</t>
  </si>
  <si>
    <t>RACI LEGEND</t>
  </si>
  <si>
    <t>Activity / Phase</t>
  </si>
  <si>
    <t>R — Responsible</t>
  </si>
  <si>
    <t>Build — Lambda Development</t>
  </si>
  <si>
    <t>A</t>
  </si>
  <si>
    <t>R</t>
  </si>
  <si>
    <t>C</t>
  </si>
  <si>
    <t>I</t>
  </si>
  <si>
    <t>A — Accountable</t>
  </si>
  <si>
    <t>Build — EventBridge Setup</t>
  </si>
  <si>
    <t>C — Consulted</t>
  </si>
  <si>
    <t>Application — IaC Templates</t>
  </si>
  <si>
    <t>I — Informed</t>
  </si>
  <si>
    <t>Application — CI/CD Pipeline</t>
  </si>
  <si>
    <t>Security — IAM Review</t>
  </si>
  <si>
    <t>Security — Threat Model</t>
  </si>
  <si>
    <t>Operationalisation — Runbooks</t>
  </si>
  <si>
    <t>Operationalisation — Monitoring</t>
  </si>
  <si>
    <t>Compliance — Control Mapping</t>
  </si>
  <si>
    <t>Compliance — Audit Evidence</t>
  </si>
  <si>
    <t>Documentation — Build Docs</t>
  </si>
  <si>
    <t>Documentation — Ops Runbooks</t>
  </si>
  <si>
    <t>Technology Stack — AWS Health Notification Solution</t>
  </si>
  <si>
    <t>Component</t>
  </si>
  <si>
    <t>Service / Tool</t>
  </si>
  <si>
    <t>Type</t>
  </si>
  <si>
    <t>Purpose</t>
  </si>
  <si>
    <t>Account Scope</t>
  </si>
  <si>
    <t>Version / Config</t>
  </si>
  <si>
    <t>Kubernetes</t>
  </si>
  <si>
    <t>Azure Kubernetes Service (AKS)</t>
  </si>
  <si>
    <t>Azure PaaS</t>
  </si>
  <si>
    <t>Run containerised workloads</t>
  </si>
  <si>
    <t>All envs</t>
  </si>
  <si>
    <t>1.29+; private cluster</t>
  </si>
  <si>
    <t>System + user node pools</t>
  </si>
  <si>
    <t>Container Registry</t>
  </si>
  <si>
    <t>Azure Container Registry (ACR)</t>
  </si>
  <si>
    <t>Store and scan container images</t>
  </si>
  <si>
    <t>Premium; geo-replicated</t>
  </si>
  <si>
    <t>Private endpoint; image scanning</t>
  </si>
  <si>
    <t>CI/CD</t>
  </si>
  <si>
    <t>Azure DevOps Pipelines</t>
  </si>
  <si>
    <t>Azure DevOps</t>
  </si>
  <si>
    <t>Build, test, deploy automation</t>
  </si>
  <si>
    <t>YAML pipelines</t>
  </si>
  <si>
    <t>Self-hosted agents on AKS</t>
  </si>
  <si>
    <t>IaC</t>
  </si>
  <si>
    <t>Terraform</t>
  </si>
  <si>
    <t>OSS Tool</t>
  </si>
  <si>
    <t>Provision all Azure infrastructure</t>
  </si>
  <si>
    <t>AzureRM provider</t>
  </si>
  <si>
    <t>State in Azure Storage</t>
  </si>
  <si>
    <t>Networking</t>
  </si>
  <si>
    <t>Azure Virtual Network (VNet)</t>
  </si>
  <si>
    <t>Hub-spoke network topology</t>
  </si>
  <si>
    <t>Hub-spoke</t>
  </si>
  <si>
    <t>Dedicated AKS subnet</t>
  </si>
  <si>
    <t>Firewall</t>
  </si>
  <si>
    <t>Azure Firewall</t>
  </si>
  <si>
    <t>Centralised egress and ingress control</t>
  </si>
  <si>
    <t>Hub VNet</t>
  </si>
  <si>
    <t>Premium SKU</t>
  </si>
  <si>
    <t>IDPS enabled; TLS inspection</t>
  </si>
  <si>
    <t>Network Security</t>
  </si>
  <si>
    <t>Network Security Groups (NSGs)</t>
  </si>
  <si>
    <t>Subnet-level traffic filtering</t>
  </si>
  <si>
    <t>Flow logs enabled</t>
  </si>
  <si>
    <t>Deny-all default rules</t>
  </si>
  <si>
    <t>Private Access</t>
  </si>
  <si>
    <t>Private Endpoints</t>
  </si>
  <si>
    <t>Private connectivity to PaaS services</t>
  </si>
  <si>
    <t>Per service</t>
  </si>
  <si>
    <t>ACR, KV, Service Bus, Storage</t>
  </si>
  <si>
    <t>Secrets</t>
  </si>
  <si>
    <t>Azure Key Vault</t>
  </si>
  <si>
    <t>Secrets, certs, encryption keys</t>
  </si>
  <si>
    <t>RBAC auth mode</t>
  </si>
  <si>
    <t>Soft-delete + purge protection</t>
  </si>
  <si>
    <t>Messaging</t>
  </si>
  <si>
    <t>Azure Service Bus</t>
  </si>
  <si>
    <t>Health event routing and fan-out</t>
  </si>
  <si>
    <t>Premium; VNet integrated</t>
  </si>
  <si>
    <t>Dead-letter queue enabled</t>
  </si>
  <si>
    <t>Identity</t>
  </si>
  <si>
    <t>Microsoft Entra ID (Azure AD)</t>
  </si>
  <si>
    <t>IAM, RBAC, MFA, Conditional Access</t>
  </si>
  <si>
    <t>Tenant-wide</t>
  </si>
  <si>
    <t>P2 licence</t>
  </si>
  <si>
    <t>PIM for privileged roles</t>
  </si>
  <si>
    <t>PAM</t>
  </si>
  <si>
    <t>Privileged Identity Management (PIM)</t>
  </si>
  <si>
    <t>Entra ID</t>
  </si>
  <si>
    <t>Just-in-time privileged access</t>
  </si>
  <si>
    <t>Entra ID P2</t>
  </si>
  <si>
    <t>All admin roles in PIM</t>
  </si>
  <si>
    <t>CSPM / CWPP</t>
  </si>
  <si>
    <t>Microsoft Defender for Cloud</t>
  </si>
  <si>
    <t>Security posture + threat protection</t>
  </si>
  <si>
    <t>All subscriptions</t>
  </si>
  <si>
    <t>All plans enabled</t>
  </si>
  <si>
    <t>Defender for Containers required</t>
  </si>
  <si>
    <t>SIEM / SOAR</t>
  </si>
  <si>
    <t>Microsoft Sentinel</t>
  </si>
  <si>
    <t>Security event detection and response</t>
  </si>
  <si>
    <t>Central workspace</t>
  </si>
  <si>
    <t>Analytics rules + playbooks</t>
  </si>
  <si>
    <t>Connected to all data sources</t>
  </si>
  <si>
    <t>Vuln Mgmt</t>
  </si>
  <si>
    <t>Microsoft Defender Vulnerability Management</t>
  </si>
  <si>
    <t>CVE scanning for images and nodes</t>
  </si>
  <si>
    <t>Integrated with Defender</t>
  </si>
  <si>
    <t>ACR scanning + AKS runtime</t>
  </si>
  <si>
    <t>Monitoring</t>
  </si>
  <si>
    <t>Azure Monitor + Log Analytics</t>
  </si>
  <si>
    <t>Centralised metrics, logs, alerts</t>
  </si>
  <si>
    <t>90-day retention</t>
  </si>
  <si>
    <t>All diag settings pointing here</t>
  </si>
  <si>
    <t>APM</t>
  </si>
  <si>
    <t>Application Insights</t>
  </si>
  <si>
    <t>Application performance monitoring</t>
  </si>
  <si>
    <t>SDK / auto-instrument</t>
  </si>
  <si>
    <t>Connected to Log Analytics WS</t>
  </si>
  <si>
    <t>DDoS</t>
  </si>
  <si>
    <t>Azure DDoS Protection</t>
  </si>
  <si>
    <t>DDoS mitigation on public IPs</t>
  </si>
  <si>
    <t>Standard plan</t>
  </si>
  <si>
    <t>Policy</t>
  </si>
  <si>
    <t>Azure Policy</t>
  </si>
  <si>
    <t>Enforce compliance and governance</t>
  </si>
  <si>
    <t>Management group</t>
  </si>
  <si>
    <t>Built-in + custom initiatives</t>
  </si>
  <si>
    <t>CIS, NIST, Protected B</t>
  </si>
  <si>
    <t>Ingress</t>
  </si>
  <si>
    <t>Azure Application Gateway + WAF</t>
  </si>
  <si>
    <t>L7 load balancing and WAF</t>
  </si>
  <si>
    <t>WAF v2; prevention mode</t>
  </si>
  <si>
    <t>Attached to AKS ingress</t>
  </si>
  <si>
    <t>Documentation Index</t>
  </si>
  <si>
    <t>Doc ID</t>
  </si>
  <si>
    <t>Document Name</t>
  </si>
  <si>
    <t>Location / Link</t>
  </si>
  <si>
    <t>Last Updated</t>
  </si>
  <si>
    <t>D001</t>
  </si>
  <si>
    <t>Lambda Architecture — Build Doc</t>
  </si>
  <si>
    <t>Build Doc</t>
  </si>
  <si>
    <t>D002</t>
  </si>
  <si>
    <t>EventBridge Rule Configuration — Build Doc</t>
  </si>
  <si>
    <t>D003</t>
  </si>
  <si>
    <t>SES Domain Setup — Build Doc</t>
  </si>
  <si>
    <t>D004</t>
  </si>
  <si>
    <t>IaC Template Reference — Build Doc</t>
  </si>
  <si>
    <t>D005</t>
  </si>
  <si>
    <t>CI/CD Pipeline — Build Doc</t>
  </si>
  <si>
    <t>D006</t>
  </si>
  <si>
    <t>IAM Role Design — Build Doc</t>
  </si>
  <si>
    <t>D007</t>
  </si>
  <si>
    <t>Threat Model Document</t>
  </si>
  <si>
    <t>Security Doc</t>
  </si>
  <si>
    <t>D008</t>
  </si>
  <si>
    <t>Incident Response Runbook</t>
  </si>
  <si>
    <t>Ops Runbook</t>
  </si>
  <si>
    <t>D009</t>
  </si>
  <si>
    <t>Email Delivery Failure Runbook</t>
  </si>
  <si>
    <t>D010</t>
  </si>
  <si>
    <t>Resubscribe Email Addresses Runbook</t>
  </si>
  <si>
    <t>D011</t>
  </si>
  <si>
    <t>Protected B Control Mapping</t>
  </si>
  <si>
    <t>Compliance Doc</t>
  </si>
  <si>
    <t>D012</t>
  </si>
  <si>
    <t>Audit Evidence Package</t>
  </si>
  <si>
    <t>D013</t>
  </si>
  <si>
    <t>End-User Guide — Reading Health Alerts</t>
  </si>
  <si>
    <t>User Guide</t>
  </si>
  <si>
    <t>D014</t>
  </si>
  <si>
    <t>Architecture Overview Diagram</t>
  </si>
  <si>
    <t>Diagram</t>
  </si>
  <si>
    <t>Change Log</t>
  </si>
  <si>
    <t>Change ID</t>
  </si>
  <si>
    <t>Date</t>
  </si>
  <si>
    <t>Changed By</t>
  </si>
  <si>
    <t>Description of Change</t>
  </si>
  <si>
    <t>Approved By</t>
  </si>
  <si>
    <t>CHG001</t>
  </si>
  <si>
    <t>2026-03-06</t>
  </si>
  <si>
    <t>All</t>
  </si>
  <si>
    <t>Initial project tracker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</si>
</sst>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5"/>
      <color rgb="FFFFFFFF"/>
      <name val="Arial"/>
    </font>
    <font>
      <b/>
      <sz val="14"/>
      <color rgb="FFFFFFFF"/>
      <name val="Arial"/>
    </font>
    <font>
      <sz val="10"/>
      <name val="Arial"/>
    </font>
    <font>
      <b/>
      <sz val="11"/>
      <color rgb="FFFFFFFF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FFF5F5F5"/>
      </patternFill>
    </fill>
    <fill>
      <patternFill patternType="solid">
        <fgColor rgb="FF5B9BD5"/>
      </patternFill>
    </fill>
    <fill>
      <patternFill patternType="solid">
        <fgColor rgb="FF7B7B7B"/>
      </patternFill>
    </fill>
    <fill>
      <patternFill patternType="solid">
        <fgColor rgb="FF595959"/>
      </patternFill>
    </fill>
    <fill>
      <patternFill patternType="solid">
        <fgColor rgb="FF8FAADC"/>
      </patternFill>
    </fill>
    <fill>
      <patternFill patternType="solid">
        <fgColor rgb="FFABABAB"/>
      </patternFill>
    </fill>
    <fill>
      <patternFill patternType="solid">
        <fgColor rgb="FF9DC3E6"/>
      </patternFill>
    </fill>
    <fill>
      <patternFill patternType="solid">
        <fgColor rgb="FFACB9CA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549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3"/>
  </cellStyleXfs>
  <cellXfs count="83">
    <xf numFmtId="0" fontId="0" fillId="0" borderId="0" xfId="0" applyBorder="1"/>
    <xf numFmtId="0" fontId="3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4" fillId="5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4" fillId="7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4" fillId="11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4" fillId="9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4" fillId="1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4" fillId="6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4" fillId="10" borderId="2" xfId="0" applyFont="1" applyFill="1" applyBorder="1" applyAlignment="1">
      <alignment horizontal="left" vertical="center" wrapText="1"/>
    </xf>
    <xf numFmtId="0" fontId="0" fillId="17" borderId="2" xfId="0" applyFill="1" applyBorder="1"/>
    <xf numFmtId="0" fontId="4" fillId="17" borderId="2" xfId="0" applyFont="1" applyFill="1" applyBorder="1" applyAlignment="1">
      <alignment horizontal="left" vertical="center" wrapText="1"/>
    </xf>
    <xf numFmtId="0" fontId="0" fillId="13" borderId="2" xfId="0" applyFill="1" applyBorder="1"/>
    <xf numFmtId="0" fontId="4" fillId="13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4" fillId="12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4" fillId="14" borderId="2" xfId="0" applyFont="1" applyFill="1" applyBorder="1" applyAlignment="1">
      <alignment horizontal="left" vertical="center" wrapText="1"/>
    </xf>
    <xf numFmtId="0" fontId="0" fillId="18" borderId="2" xfId="0" applyFill="1" applyBorder="1"/>
    <xf numFmtId="0" fontId="4" fillId="18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4" fillId="1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4" fillId="2" borderId="2" xfId="0" applyFont="1" applyFill="1" applyBorder="1" applyAlignment="1">
      <alignment horizontal="left" vertical="center" wrapText="1"/>
    </xf>
    <xf numFmtId="9" fontId="4" fillId="4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9" fontId="4" fillId="8" borderId="2" xfId="0" applyNumberFormat="1" applyFont="1" applyFill="1" applyBorder="1" applyAlignment="1">
      <alignment horizontal="center" vertical="center" wrapText="1"/>
    </xf>
    <xf numFmtId="164" fontId="4" fillId="8" borderId="2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0" fillId="4" borderId="3" xfId="0" applyFill="1"/>
    <xf numFmtId="0" fontId="0" fillId="19" borderId="4" xfId="0" applyFill="1" applyBorder="1" applyAlignment="1">
      <alignment horizontal="left" vertical="center" wrapText="1"/>
    </xf>
    <xf numFmtId="0" fontId="10" fillId="20" borderId="5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left" vertical="center" wrapText="1"/>
    </xf>
    <xf numFmtId="0" fontId="4" fillId="19" borderId="4" xfId="0" applyFont="1" applyFill="1" applyBorder="1" applyAlignment="1">
      <alignment horizontal="left" vertical="center" wrapText="1"/>
    </xf>
    <xf numFmtId="9" fontId="4" fillId="19" borderId="4" xfId="0" applyNumberFormat="1" applyFont="1" applyFill="1" applyBorder="1" applyAlignment="1">
      <alignment horizontal="center" vertical="center"/>
    </xf>
    <xf numFmtId="164" fontId="4" fillId="19" borderId="4" xfId="0" applyNumberFormat="1" applyFont="1" applyFill="1" applyBorder="1" applyAlignment="1">
      <alignment horizontal="left" vertical="center" wrapText="1"/>
    </xf>
    <xf numFmtId="0" fontId="6" fillId="19" borderId="4" xfId="0" applyFont="1" applyFill="1" applyBorder="1" applyAlignment="1">
      <alignment horizontal="left" vertical="center" wrapText="1"/>
    </xf>
    <xf numFmtId="0" fontId="0" fillId="19" borderId="4" xfId="0" applyFill="1" applyBorder="1" applyAlignment="1">
      <alignment horizontal="center" vertical="center"/>
    </xf>
    <xf numFmtId="0" fontId="4" fillId="19" borderId="4" xfId="0" applyFont="1" applyFill="1" applyBorder="1" applyAlignment="1">
      <alignment horizontal="left" vertical="center" wrapText="1"/>
    </xf>
    <xf numFmtId="0" fontId="0" fillId="0" borderId="6" xfId="0" applyBorder="1"/>
    <xf numFmtId="0" fontId="2" fillId="0" borderId="3" xfId="0" applyFont="1" applyAlignment="1">
      <alignment horizontal="center" vertical="center" wrapText="1"/>
    </xf>
    <xf numFmtId="0" fontId="0" fillId="0" borderId="0" xfId="0" applyBorder="1"/>
    <xf numFmtId="9" fontId="4" fillId="19" borderId="4" xfId="0" applyNumberFormat="1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7" fillId="2" borderId="3" xfId="0" applyFont="1" applyFill="1" applyAlignment="1">
      <alignment horizontal="center" vertical="center" wrapText="1"/>
    </xf>
    <xf numFmtId="0" fontId="3" fillId="11" borderId="3" xfId="0" applyFont="1" applyFill="1" applyAlignment="1">
      <alignment horizontal="center" vertical="center" wrapText="1"/>
    </xf>
    <xf numFmtId="0" fontId="1" fillId="2" borderId="3" xfId="0" applyFont="1" applyFill="1" applyAlignment="1">
      <alignment horizontal="center" vertical="center" wrapText="1"/>
    </xf>
    <xf numFmtId="0" fontId="3" fillId="3" borderId="3" xfId="0" applyFont="1" applyFill="1" applyAlignment="1">
      <alignment horizontal="center" vertical="center" wrapText="1"/>
    </xf>
    <xf numFmtId="0" fontId="3" fillId="2" borderId="3" xfId="0" applyFont="1" applyFill="1" applyAlignment="1">
      <alignment horizontal="center" vertical="center" wrapText="1"/>
    </xf>
    <xf numFmtId="0" fontId="8" fillId="2" borderId="3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22" customWidth="1"/>
    <col min="2" max="3" width="18" customWidth="1"/>
    <col min="4" max="4" width="14" customWidth="1"/>
    <col min="5" max="5" width="16" customWidth="1"/>
    <col min="6" max="7" width="14" customWidth="1"/>
    <col min="8" max="8" width="12" customWidth="1"/>
    <col min="9" max="9" width="10" customWidth="1"/>
    <col min="10" max="10" width="30" customWidth="1"/>
  </cols>
  <sheetData>
    <row r="1" spans="1:12" ht="45" customHeight="1" x14ac:dyDescent="0.25">
      <c r="A1" s="79" t="s">
        <v>210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18" customHeight="1" x14ac:dyDescent="0.25">
      <c r="A2" s="73" t="s">
        <v>211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8.1" customHeight="1" x14ac:dyDescent="0.25"/>
    <row r="4" spans="1:12" ht="24" customHeight="1" x14ac:dyDescent="0.25">
      <c r="A4" s="1" t="s">
        <v>3</v>
      </c>
      <c r="B4" s="1" t="s">
        <v>212</v>
      </c>
      <c r="C4" s="1" t="s">
        <v>6</v>
      </c>
      <c r="D4" s="1" t="s">
        <v>213</v>
      </c>
      <c r="E4" s="1" t="s">
        <v>7</v>
      </c>
      <c r="F4" s="1" t="s">
        <v>214</v>
      </c>
      <c r="G4" s="1" t="s">
        <v>215</v>
      </c>
      <c r="H4" s="1" t="s">
        <v>216</v>
      </c>
      <c r="I4" s="1" t="s">
        <v>217</v>
      </c>
      <c r="J4" s="1" t="s">
        <v>15</v>
      </c>
    </row>
    <row r="5" spans="1:12" ht="21.95" customHeight="1" x14ac:dyDescent="0.25">
      <c r="A5" s="2" t="s">
        <v>16</v>
      </c>
      <c r="B5" s="3" t="s">
        <v>218</v>
      </c>
      <c r="C5" s="4" t="s">
        <v>35</v>
      </c>
      <c r="D5" s="55">
        <f>IFERROR(AVERAGEIF('Project Overview'!$B$5:$B$100,A5,'Project Overview'!$G$5:$G$100),0)</f>
        <v>0</v>
      </c>
      <c r="E5" s="5" t="str">
        <f>IF('Project Overview'!$G$5:$G$100="","",IF(AVERAGEIF('Project Overview'!$B$5:$B$100,A5,'Project Overview'!$G$5:$G$100)=1,"Complete",IF(AVERAGEIF('Project Overview'!$B$5:$B$100,A5,'Project Overview'!$G$5:$G$100)&gt;0,"In Progress","Not Started")))</f>
        <v>Not Started</v>
      </c>
      <c r="F5" s="56" t="str">
        <f ca="1">IFERROR(_xludf.MINIFS('Project Overview'!$H$5:$H$100,'Project Overview'!$B$5:$B$100,A5),"TBD")</f>
        <v>TBD</v>
      </c>
      <c r="G5" s="56" t="str">
        <f ca="1">IFERROR(_xludf.MAXIFS('Project Overview'!$I$5:$I$100,'Project Overview'!$B$5:$B$100,A5),"TBD")</f>
        <v>TBD</v>
      </c>
      <c r="H5" s="3">
        <f>COUNTIFS('Project Overview'!$B$5:$B$100,A5,'Project Overview'!$F$5:$F$100,"&lt;&gt;Complete")</f>
        <v>14</v>
      </c>
      <c r="I5" s="3">
        <f>COUNTIFS('Project Overview'!$B$5:$B$100,A5,'Project Overview'!$F$5:$F$100,"Blocked")</f>
        <v>0</v>
      </c>
      <c r="J5" s="3"/>
    </row>
    <row r="6" spans="1:12" ht="21.95" customHeight="1" x14ac:dyDescent="0.25">
      <c r="A6" s="6" t="s">
        <v>74</v>
      </c>
      <c r="B6" s="7" t="s">
        <v>218</v>
      </c>
      <c r="C6" s="4" t="s">
        <v>35</v>
      </c>
      <c r="D6" s="57">
        <f>IFERROR(AVERAGEIF('Project Overview'!$B$5:$B$100,A6,'Project Overview'!$G$5:$G$100),0)</f>
        <v>0</v>
      </c>
      <c r="E6" s="5" t="str">
        <f>IF('Project Overview'!$G$5:$G$100="","",IF(AVERAGEIF('Project Overview'!$B$5:$B$100,A6,'Project Overview'!$G$5:$G$100)=1,"Complete",IF(AVERAGEIF('Project Overview'!$B$5:$B$100,A6,'Project Overview'!$G$5:$G$100)&gt;0,"In Progress","Not Started")))</f>
        <v>Not Started</v>
      </c>
      <c r="F6" s="58" t="str">
        <f ca="1">IFERROR(_xludf.MINIFS('Project Overview'!$H$5:$H$100,'Project Overview'!$B$5:$B$100,A6),"TBD")</f>
        <v>TBD</v>
      </c>
      <c r="G6" s="58" t="str">
        <f ca="1">IFERROR(_xludf.MAXIFS('Project Overview'!$I$5:$I$100,'Project Overview'!$B$5:$B$100,A6),"TBD")</f>
        <v>TBD</v>
      </c>
      <c r="H6" s="7">
        <f>COUNTIFS('Project Overview'!$B$5:$B$100,A6,'Project Overview'!$F$5:$F$100,"&lt;&gt;Complete")</f>
        <v>10</v>
      </c>
      <c r="I6" s="7">
        <f>COUNTIFS('Project Overview'!$B$5:$B$100,A6,'Project Overview'!$F$5:$F$100,"Blocked")</f>
        <v>0</v>
      </c>
      <c r="J6" s="7"/>
    </row>
    <row r="7" spans="1:12" ht="21.95" customHeight="1" x14ac:dyDescent="0.25">
      <c r="A7" s="8" t="s">
        <v>108</v>
      </c>
      <c r="B7" s="3" t="s">
        <v>218</v>
      </c>
      <c r="C7" s="9" t="s">
        <v>19</v>
      </c>
      <c r="D7" s="55">
        <f>IFERROR(AVERAGEIF('Project Overview'!$B$5:$B$100,A7,'Project Overview'!$G$5:$G$100),0)</f>
        <v>0</v>
      </c>
      <c r="E7" s="5" t="str">
        <f>IF('Project Overview'!$G$5:$G$100="","",IF(AVERAGEIF('Project Overview'!$B$5:$B$100,A7,'Project Overview'!$G$5:$G$100)=1,"Complete",IF(AVERAGEIF('Project Overview'!$B$5:$B$100,A7,'Project Overview'!$G$5:$G$100)&gt;0,"In Progress","Not Started")))</f>
        <v>Not Started</v>
      </c>
      <c r="F7" s="56" t="str">
        <f ca="1">IFERROR(_xludf.MINIFS('Project Overview'!$H$5:$H$100,'Project Overview'!$B$5:$B$100,A7),"TBD")</f>
        <v>TBD</v>
      </c>
      <c r="G7" s="56" t="str">
        <f ca="1">IFERROR(_xludf.MAXIFS('Project Overview'!$I$5:$I$100,'Project Overview'!$B$5:$B$100,A7),"TBD")</f>
        <v>TBD</v>
      </c>
      <c r="H7" s="3">
        <f>COUNTIFS('Project Overview'!$B$5:$B$100,A7,'Project Overview'!$F$5:$F$100,"&lt;&gt;Complete")</f>
        <v>10</v>
      </c>
      <c r="I7" s="3">
        <f>COUNTIFS('Project Overview'!$B$5:$B$100,A7,'Project Overview'!$F$5:$F$100,"Blocked")</f>
        <v>0</v>
      </c>
      <c r="J7" s="3"/>
    </row>
    <row r="8" spans="1:12" ht="21.95" customHeight="1" x14ac:dyDescent="0.25">
      <c r="A8" s="10" t="s">
        <v>142</v>
      </c>
      <c r="B8" s="7" t="s">
        <v>218</v>
      </c>
      <c r="C8" s="11" t="s">
        <v>92</v>
      </c>
      <c r="D8" s="57">
        <f>IFERROR(AVERAGEIF('Project Overview'!$B$5:$B$100,A8,'Project Overview'!$G$5:$G$100),0)</f>
        <v>0</v>
      </c>
      <c r="E8" s="5" t="str">
        <f>IF('Project Overview'!$G$5:$G$100="","",IF(AVERAGEIF('Project Overview'!$B$5:$B$100,A8,'Project Overview'!$G$5:$G$100)=1,"Complete",IF(AVERAGEIF('Project Overview'!$B$5:$B$100,A8,'Project Overview'!$G$5:$G$100)&gt;0,"In Progress","Not Started")))</f>
        <v>Not Started</v>
      </c>
      <c r="F8" s="58" t="str">
        <f ca="1">IFERROR(_xludf.MINIFS('Project Overview'!$H$5:$H$100,'Project Overview'!$B$5:$B$100,A8),"TBD")</f>
        <v>TBD</v>
      </c>
      <c r="G8" s="58" t="str">
        <f ca="1">IFERROR(_xludf.MAXIFS('Project Overview'!$I$5:$I$100,'Project Overview'!$B$5:$B$100,A8),"TBD")</f>
        <v>TBD</v>
      </c>
      <c r="H8" s="7">
        <f>COUNTIFS('Project Overview'!$B$5:$B$100,A8,'Project Overview'!$F$5:$F$100,"&lt;&gt;Complete")</f>
        <v>10</v>
      </c>
      <c r="I8" s="7">
        <f>COUNTIFS('Project Overview'!$B$5:$B$100,A8,'Project Overview'!$F$5:$F$100,"Blocked")</f>
        <v>0</v>
      </c>
      <c r="J8" s="7"/>
    </row>
    <row r="9" spans="1:12" ht="21.95" customHeight="1" x14ac:dyDescent="0.25">
      <c r="A9" s="12" t="s">
        <v>166</v>
      </c>
      <c r="B9" s="3" t="s">
        <v>218</v>
      </c>
      <c r="C9" s="9" t="s">
        <v>19</v>
      </c>
      <c r="D9" s="55">
        <f>IFERROR(AVERAGEIF('Project Overview'!$B$5:$B$100,A9,'Project Overview'!$G$5:$G$100),0)</f>
        <v>0</v>
      </c>
      <c r="E9" s="5" t="str">
        <f>IF('Project Overview'!$G$5:$G$100="","",IF(AVERAGEIF('Project Overview'!$B$5:$B$100,A9,'Project Overview'!$G$5:$G$100)=1,"Complete",IF(AVERAGEIF('Project Overview'!$B$5:$B$100,A9,'Project Overview'!$G$5:$G$100)&gt;0,"In Progress","Not Started")))</f>
        <v>Not Started</v>
      </c>
      <c r="F9" s="56" t="str">
        <f ca="1">IFERROR(_xludf.MINIFS('Project Overview'!$H$5:$H$100,'Project Overview'!$B$5:$B$100,A9),"TBD")</f>
        <v>TBD</v>
      </c>
      <c r="G9" s="56" t="str">
        <f ca="1">IFERROR(_xludf.MAXIFS('Project Overview'!$I$5:$I$100,'Project Overview'!$B$5:$B$100,A9),"TBD")</f>
        <v>TBD</v>
      </c>
      <c r="H9" s="3">
        <f>COUNTIFS('Project Overview'!$B$5:$B$100,A9,'Project Overview'!$F$5:$F$100,"&lt;&gt;Complete")</f>
        <v>7</v>
      </c>
      <c r="I9" s="3">
        <f>COUNTIFS('Project Overview'!$B$5:$B$100,A9,'Project Overview'!$F$5:$F$100,"Blocked")</f>
        <v>0</v>
      </c>
      <c r="J9" s="3"/>
    </row>
    <row r="10" spans="1:12" ht="21.95" customHeight="1" x14ac:dyDescent="0.25">
      <c r="A10" s="13" t="s">
        <v>186</v>
      </c>
      <c r="B10" s="7" t="s">
        <v>218</v>
      </c>
      <c r="C10" s="11" t="s">
        <v>92</v>
      </c>
      <c r="D10" s="57">
        <f>IFERROR(AVERAGEIF('Project Overview'!$B$5:$B$100,A10,'Project Overview'!$G$5:$G$100),0)</f>
        <v>0</v>
      </c>
      <c r="E10" s="5" t="str">
        <f>IF('Project Overview'!$G$5:$G$100="","",IF(AVERAGEIF('Project Overview'!$B$5:$B$100,A10,'Project Overview'!$G$5:$G$100)=1,"Complete",IF(AVERAGEIF('Project Overview'!$B$5:$B$100,A10,'Project Overview'!$G$5:$G$100)&gt;0,"In Progress","Not Started")))</f>
        <v>Not Started</v>
      </c>
      <c r="F10" s="58" t="str">
        <f ca="1">IFERROR(_xludf.MINIFS('Project Overview'!$H$5:$H$100,'Project Overview'!$B$5:$B$100,A10),"TBD")</f>
        <v>TBD</v>
      </c>
      <c r="G10" s="58" t="str">
        <f ca="1">IFERROR(_xludf.MAXIFS('Project Overview'!$I$5:$I$100,'Project Overview'!$B$5:$B$100,A10),"TBD")</f>
        <v>TBD</v>
      </c>
      <c r="H10" s="7">
        <f>COUNTIFS('Project Overview'!$B$5:$B$100,A10,'Project Overview'!$F$5:$F$100,"&lt;&gt;Complete")</f>
        <v>10</v>
      </c>
      <c r="I10" s="7">
        <f>COUNTIFS('Project Overview'!$B$5:$B$100,A10,'Project Overview'!$F$5:$F$100,"Blocked")</f>
        <v>0</v>
      </c>
      <c r="J10" s="7"/>
    </row>
    <row r="11" spans="1:12" ht="12" customHeight="1" x14ac:dyDescent="0.25"/>
    <row r="13" spans="1:12" x14ac:dyDescent="0.25">
      <c r="A13" s="80" t="s">
        <v>219</v>
      </c>
      <c r="B13" s="74"/>
      <c r="D13" s="78" t="s">
        <v>220</v>
      </c>
      <c r="E13" s="74"/>
      <c r="G13" s="81" t="s">
        <v>221</v>
      </c>
      <c r="H13" s="74"/>
    </row>
    <row r="14" spans="1:12" x14ac:dyDescent="0.25">
      <c r="A14" s="14"/>
      <c r="B14" s="15" t="s">
        <v>16</v>
      </c>
      <c r="D14" s="16"/>
      <c r="E14" s="17" t="s">
        <v>20</v>
      </c>
      <c r="G14" s="18"/>
      <c r="H14" s="19" t="s">
        <v>19</v>
      </c>
    </row>
    <row r="15" spans="1:12" x14ac:dyDescent="0.25">
      <c r="A15" s="20"/>
      <c r="B15" s="21" t="s">
        <v>74</v>
      </c>
      <c r="D15" s="22"/>
      <c r="E15" s="23" t="s">
        <v>222</v>
      </c>
      <c r="G15" s="24"/>
      <c r="H15" s="25" t="s">
        <v>35</v>
      </c>
    </row>
    <row r="16" spans="1:12" x14ac:dyDescent="0.25">
      <c r="A16" s="26"/>
      <c r="B16" s="27" t="s">
        <v>108</v>
      </c>
      <c r="D16" s="28"/>
      <c r="E16" s="29" t="s">
        <v>223</v>
      </c>
      <c r="G16" s="30"/>
      <c r="H16" s="31" t="s">
        <v>92</v>
      </c>
    </row>
    <row r="17" spans="1:8" x14ac:dyDescent="0.25">
      <c r="A17" s="32"/>
      <c r="B17" s="33" t="s">
        <v>142</v>
      </c>
      <c r="D17" s="16"/>
      <c r="E17" s="17" t="s">
        <v>217</v>
      </c>
      <c r="G17" s="16"/>
      <c r="H17" s="17" t="s">
        <v>208</v>
      </c>
    </row>
    <row r="18" spans="1:8" x14ac:dyDescent="0.25">
      <c r="A18" s="34"/>
      <c r="B18" s="35" t="s">
        <v>166</v>
      </c>
      <c r="D18" s="36"/>
      <c r="E18" s="37" t="s">
        <v>224</v>
      </c>
    </row>
    <row r="19" spans="1:8" x14ac:dyDescent="0.25">
      <c r="A19" s="38"/>
      <c r="B19" s="39" t="s">
        <v>186</v>
      </c>
    </row>
  </sheetData>
  <mergeCells count="5">
    <mergeCell ref="A2:L2"/>
    <mergeCell ref="D13:E13"/>
    <mergeCell ref="A1:L1"/>
    <mergeCell ref="A13:B13"/>
    <mergeCell ref="G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6"/>
  <sheetViews>
    <sheetView showGridLines="0" tabSelected="1" workbookViewId="0">
      <pane ySplit="4" topLeftCell="A5" activePane="bottomLeft" state="frozen"/>
      <selection pane="bottomLeft" activeCell="F12" sqref="F12"/>
    </sheetView>
  </sheetViews>
  <sheetFormatPr defaultRowHeight="15" x14ac:dyDescent="0.25"/>
  <cols>
    <col min="1" max="1" width="5" customWidth="1"/>
    <col min="2" max="2" width="12" customWidth="1"/>
    <col min="3" max="3" width="50" bestFit="1" customWidth="1"/>
    <col min="4" max="4" width="18" customWidth="1"/>
    <col min="5" max="6" width="12" customWidth="1"/>
    <col min="7" max="7" width="8" customWidth="1"/>
    <col min="8" max="9" width="12" customWidth="1"/>
    <col min="10" max="10" width="14" customWidth="1"/>
    <col min="11" max="11" width="16" bestFit="1" customWidth="1"/>
    <col min="12" max="12" width="14" customWidth="1"/>
    <col min="13" max="13" width="12" customWidth="1"/>
    <col min="14" max="14" width="40" customWidth="1"/>
  </cols>
  <sheetData>
    <row r="1" spans="1:14" ht="39.950000000000003" customHeight="1" x14ac:dyDescent="0.25">
      <c r="A1" s="77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4" ht="18" customHeight="1" x14ac:dyDescent="0.25">
      <c r="A2" s="73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4" ht="8.1" customHeight="1" x14ac:dyDescent="0.25"/>
    <row r="4" spans="1:14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63" t="s">
        <v>12</v>
      </c>
      <c r="L4" s="63" t="s">
        <v>13</v>
      </c>
      <c r="M4" s="63" t="s">
        <v>14</v>
      </c>
      <c r="N4" s="1" t="s">
        <v>15</v>
      </c>
    </row>
    <row r="5" spans="1:14" ht="20.100000000000001" customHeight="1" x14ac:dyDescent="0.25">
      <c r="A5" s="64">
        <v>1</v>
      </c>
      <c r="B5" s="65" t="s">
        <v>16</v>
      </c>
      <c r="C5" s="66" t="s">
        <v>17</v>
      </c>
      <c r="D5" s="66" t="s">
        <v>18</v>
      </c>
      <c r="E5" s="65" t="s">
        <v>19</v>
      </c>
      <c r="F5" s="66" t="s">
        <v>20</v>
      </c>
      <c r="G5" s="67">
        <v>0</v>
      </c>
      <c r="H5" s="68" t="s">
        <v>21</v>
      </c>
      <c r="I5" s="68" t="s">
        <v>22</v>
      </c>
      <c r="J5" s="66"/>
      <c r="K5" s="62"/>
      <c r="L5" s="62"/>
      <c r="M5" s="62"/>
      <c r="N5" s="66" t="s">
        <v>23</v>
      </c>
    </row>
    <row r="6" spans="1:14" ht="20.100000000000001" customHeight="1" x14ac:dyDescent="0.25">
      <c r="A6" s="64">
        <v>2</v>
      </c>
      <c r="B6" s="65" t="s">
        <v>16</v>
      </c>
      <c r="C6" s="66" t="s">
        <v>24</v>
      </c>
      <c r="D6" s="66" t="s">
        <v>18</v>
      </c>
      <c r="E6" s="65" t="s">
        <v>19</v>
      </c>
      <c r="F6" s="66" t="s">
        <v>20</v>
      </c>
      <c r="G6" s="67">
        <v>0</v>
      </c>
      <c r="H6" s="68" t="s">
        <v>25</v>
      </c>
      <c r="I6" s="68" t="s">
        <v>26</v>
      </c>
      <c r="J6" s="66" t="s">
        <v>27</v>
      </c>
      <c r="K6" s="62"/>
      <c r="L6" s="62"/>
      <c r="M6" s="62"/>
      <c r="N6" s="66" t="s">
        <v>28</v>
      </c>
    </row>
    <row r="7" spans="1:14" ht="20.100000000000001" customHeight="1" x14ac:dyDescent="0.25">
      <c r="A7" s="64">
        <v>3</v>
      </c>
      <c r="B7" s="65" t="s">
        <v>16</v>
      </c>
      <c r="C7" s="66" t="s">
        <v>29</v>
      </c>
      <c r="D7" s="66" t="s">
        <v>18</v>
      </c>
      <c r="E7" s="65" t="s">
        <v>19</v>
      </c>
      <c r="F7" s="66" t="s">
        <v>20</v>
      </c>
      <c r="G7" s="67">
        <v>0</v>
      </c>
      <c r="H7" s="68" t="s">
        <v>30</v>
      </c>
      <c r="I7" s="68" t="s">
        <v>31</v>
      </c>
      <c r="J7" s="66" t="s">
        <v>32</v>
      </c>
      <c r="K7" s="62"/>
      <c r="L7" s="62"/>
      <c r="M7" s="62"/>
      <c r="N7" s="66" t="s">
        <v>33</v>
      </c>
    </row>
    <row r="8" spans="1:14" ht="20.100000000000001" customHeight="1" x14ac:dyDescent="0.25">
      <c r="A8" s="64">
        <v>4</v>
      </c>
      <c r="B8" s="65" t="s">
        <v>16</v>
      </c>
      <c r="C8" s="66" t="s">
        <v>34</v>
      </c>
      <c r="D8" s="66" t="s">
        <v>18</v>
      </c>
      <c r="E8" s="69" t="s">
        <v>35</v>
      </c>
      <c r="F8" s="66" t="s">
        <v>20</v>
      </c>
      <c r="G8" s="67">
        <v>0</v>
      </c>
      <c r="H8" s="68" t="s">
        <v>36</v>
      </c>
      <c r="I8" s="68" t="s">
        <v>37</v>
      </c>
      <c r="J8" s="66" t="s">
        <v>38</v>
      </c>
      <c r="K8" s="62"/>
      <c r="L8" s="62"/>
      <c r="M8" s="62"/>
      <c r="N8" s="66" t="s">
        <v>39</v>
      </c>
    </row>
    <row r="9" spans="1:14" ht="20.100000000000001" customHeight="1" x14ac:dyDescent="0.25">
      <c r="A9" s="64">
        <v>5</v>
      </c>
      <c r="B9" s="65" t="s">
        <v>16</v>
      </c>
      <c r="C9" s="66" t="s">
        <v>40</v>
      </c>
      <c r="D9" s="66" t="s">
        <v>18</v>
      </c>
      <c r="E9" s="65" t="s">
        <v>19</v>
      </c>
      <c r="F9" s="66" t="s">
        <v>20</v>
      </c>
      <c r="G9" s="67">
        <v>0</v>
      </c>
      <c r="H9" s="68" t="s">
        <v>21</v>
      </c>
      <c r="I9" s="68" t="s">
        <v>22</v>
      </c>
      <c r="J9" s="66"/>
      <c r="K9" s="62"/>
      <c r="L9" s="62"/>
      <c r="M9" s="62"/>
      <c r="N9" s="66" t="s">
        <v>41</v>
      </c>
    </row>
    <row r="10" spans="1:14" ht="20.100000000000001" customHeight="1" x14ac:dyDescent="0.25">
      <c r="A10" s="64">
        <v>6</v>
      </c>
      <c r="B10" s="65" t="s">
        <v>16</v>
      </c>
      <c r="C10" s="66" t="s">
        <v>42</v>
      </c>
      <c r="D10" s="66" t="s">
        <v>43</v>
      </c>
      <c r="E10" s="65" t="s">
        <v>19</v>
      </c>
      <c r="F10" s="66" t="s">
        <v>20</v>
      </c>
      <c r="G10" s="67">
        <v>0</v>
      </c>
      <c r="H10" s="68" t="s">
        <v>30</v>
      </c>
      <c r="I10" s="68" t="s">
        <v>36</v>
      </c>
      <c r="J10" s="66" t="s">
        <v>44</v>
      </c>
      <c r="K10" s="62"/>
      <c r="L10" s="62"/>
      <c r="M10" s="62"/>
      <c r="N10" s="66" t="s">
        <v>45</v>
      </c>
    </row>
    <row r="11" spans="1:14" ht="20.100000000000001" customHeight="1" x14ac:dyDescent="0.25">
      <c r="A11" s="64">
        <v>7</v>
      </c>
      <c r="B11" s="65" t="s">
        <v>16</v>
      </c>
      <c r="C11" s="66" t="s">
        <v>46</v>
      </c>
      <c r="D11" s="66" t="s">
        <v>18</v>
      </c>
      <c r="E11" s="69" t="s">
        <v>35</v>
      </c>
      <c r="F11" s="66" t="s">
        <v>20</v>
      </c>
      <c r="G11" s="67">
        <v>0</v>
      </c>
      <c r="H11" s="68" t="s">
        <v>30</v>
      </c>
      <c r="I11" s="68" t="s">
        <v>47</v>
      </c>
      <c r="J11" s="66" t="s">
        <v>44</v>
      </c>
      <c r="K11" s="62"/>
      <c r="L11" s="62"/>
      <c r="M11" s="62"/>
      <c r="N11" s="66" t="s">
        <v>48</v>
      </c>
    </row>
    <row r="12" spans="1:14" ht="20.100000000000001" customHeight="1" x14ac:dyDescent="0.25">
      <c r="A12" s="64">
        <v>8</v>
      </c>
      <c r="B12" s="65" t="s">
        <v>16</v>
      </c>
      <c r="C12" s="66" t="s">
        <v>49</v>
      </c>
      <c r="D12" s="66" t="s">
        <v>18</v>
      </c>
      <c r="E12" s="69" t="s">
        <v>35</v>
      </c>
      <c r="F12" s="66" t="s">
        <v>20</v>
      </c>
      <c r="G12" s="67">
        <v>0</v>
      </c>
      <c r="H12" s="68" t="s">
        <v>50</v>
      </c>
      <c r="I12" s="68" t="s">
        <v>51</v>
      </c>
      <c r="J12" s="66" t="s">
        <v>52</v>
      </c>
      <c r="K12" s="62"/>
      <c r="L12" s="62"/>
      <c r="M12" s="62"/>
      <c r="N12" s="66" t="s">
        <v>53</v>
      </c>
    </row>
    <row r="13" spans="1:14" ht="20.100000000000001" customHeight="1" x14ac:dyDescent="0.25">
      <c r="A13" s="64">
        <v>9</v>
      </c>
      <c r="B13" s="65" t="s">
        <v>16</v>
      </c>
      <c r="C13" s="66" t="s">
        <v>54</v>
      </c>
      <c r="D13" s="66" t="s">
        <v>43</v>
      </c>
      <c r="E13" s="65" t="s">
        <v>19</v>
      </c>
      <c r="F13" s="66" t="s">
        <v>20</v>
      </c>
      <c r="G13" s="67">
        <v>0</v>
      </c>
      <c r="H13" s="68" t="s">
        <v>30</v>
      </c>
      <c r="I13" s="68" t="s">
        <v>47</v>
      </c>
      <c r="J13" s="66" t="s">
        <v>44</v>
      </c>
      <c r="K13" s="62"/>
      <c r="L13" s="62"/>
      <c r="M13" s="62"/>
      <c r="N13" s="66" t="s">
        <v>55</v>
      </c>
    </row>
    <row r="14" spans="1:14" ht="20.100000000000001" customHeight="1" x14ac:dyDescent="0.25">
      <c r="A14" s="64">
        <v>10</v>
      </c>
      <c r="B14" s="65" t="s">
        <v>16</v>
      </c>
      <c r="C14" s="66" t="s">
        <v>56</v>
      </c>
      <c r="D14" s="66" t="s">
        <v>18</v>
      </c>
      <c r="E14" s="69" t="s">
        <v>35</v>
      </c>
      <c r="F14" s="66" t="s">
        <v>20</v>
      </c>
      <c r="G14" s="67">
        <v>0</v>
      </c>
      <c r="H14" s="68" t="s">
        <v>36</v>
      </c>
      <c r="I14" s="68" t="s">
        <v>57</v>
      </c>
      <c r="J14" s="66" t="s">
        <v>58</v>
      </c>
      <c r="K14" s="62"/>
      <c r="L14" s="62"/>
      <c r="M14" s="62"/>
      <c r="N14" s="66" t="s">
        <v>59</v>
      </c>
    </row>
    <row r="15" spans="1:14" ht="20.100000000000001" customHeight="1" x14ac:dyDescent="0.25">
      <c r="A15" s="64">
        <v>11</v>
      </c>
      <c r="B15" s="65" t="s">
        <v>16</v>
      </c>
      <c r="C15" s="66" t="s">
        <v>60</v>
      </c>
      <c r="D15" s="66" t="s">
        <v>18</v>
      </c>
      <c r="E15" s="69" t="s">
        <v>35</v>
      </c>
      <c r="F15" s="66" t="s">
        <v>20</v>
      </c>
      <c r="G15" s="67">
        <v>0</v>
      </c>
      <c r="H15" s="68" t="s">
        <v>31</v>
      </c>
      <c r="I15" s="68" t="s">
        <v>61</v>
      </c>
      <c r="J15" s="66" t="s">
        <v>62</v>
      </c>
      <c r="K15" s="62"/>
      <c r="L15" s="62"/>
      <c r="M15" s="62"/>
      <c r="N15" s="66" t="s">
        <v>63</v>
      </c>
    </row>
    <row r="16" spans="1:14" ht="20.100000000000001" customHeight="1" x14ac:dyDescent="0.25">
      <c r="A16" s="64">
        <v>12</v>
      </c>
      <c r="B16" s="65" t="s">
        <v>16</v>
      </c>
      <c r="C16" s="66" t="s">
        <v>64</v>
      </c>
      <c r="D16" s="66" t="s">
        <v>65</v>
      </c>
      <c r="E16" s="69" t="s">
        <v>35</v>
      </c>
      <c r="F16" s="66" t="s">
        <v>20</v>
      </c>
      <c r="G16" s="67">
        <v>0</v>
      </c>
      <c r="H16" s="68" t="s">
        <v>37</v>
      </c>
      <c r="I16" s="68" t="s">
        <v>66</v>
      </c>
      <c r="J16" s="66" t="s">
        <v>67</v>
      </c>
      <c r="K16" s="62"/>
      <c r="L16" s="62"/>
      <c r="M16" s="62"/>
      <c r="N16" s="66" t="s">
        <v>68</v>
      </c>
    </row>
    <row r="17" spans="1:14" ht="20.100000000000001" customHeight="1" x14ac:dyDescent="0.25">
      <c r="A17" s="64">
        <v>13</v>
      </c>
      <c r="B17" s="65" t="s">
        <v>16</v>
      </c>
      <c r="C17" s="66" t="s">
        <v>69</v>
      </c>
      <c r="D17" s="66" t="s">
        <v>18</v>
      </c>
      <c r="E17" s="69" t="s">
        <v>35</v>
      </c>
      <c r="F17" s="66" t="s">
        <v>20</v>
      </c>
      <c r="G17" s="67">
        <v>0</v>
      </c>
      <c r="H17" s="68" t="s">
        <v>21</v>
      </c>
      <c r="I17" s="68" t="s">
        <v>70</v>
      </c>
      <c r="J17" s="66"/>
      <c r="K17" s="62"/>
      <c r="L17" s="62"/>
      <c r="M17" s="62"/>
      <c r="N17" s="66" t="s">
        <v>71</v>
      </c>
    </row>
    <row r="18" spans="1:14" ht="20.100000000000001" customHeight="1" x14ac:dyDescent="0.25">
      <c r="A18" s="64">
        <v>14</v>
      </c>
      <c r="B18" s="65" t="s">
        <v>16</v>
      </c>
      <c r="C18" s="66" t="s">
        <v>72</v>
      </c>
      <c r="D18" s="66" t="s">
        <v>18</v>
      </c>
      <c r="E18" s="69" t="s">
        <v>35</v>
      </c>
      <c r="F18" s="66" t="s">
        <v>20</v>
      </c>
      <c r="G18" s="67">
        <v>0</v>
      </c>
      <c r="H18" s="68" t="s">
        <v>21</v>
      </c>
      <c r="I18" s="68" t="s">
        <v>25</v>
      </c>
      <c r="J18" s="66"/>
      <c r="K18" s="62"/>
      <c r="L18" s="62"/>
      <c r="M18" s="62"/>
      <c r="N18" s="66" t="s">
        <v>73</v>
      </c>
    </row>
    <row r="19" spans="1:14" ht="20.100000000000001" customHeight="1" x14ac:dyDescent="0.25">
      <c r="A19" s="64">
        <v>15</v>
      </c>
      <c r="B19" s="65" t="s">
        <v>74</v>
      </c>
      <c r="C19" s="66" t="s">
        <v>75</v>
      </c>
      <c r="D19" s="66" t="s">
        <v>65</v>
      </c>
      <c r="E19" s="69" t="s">
        <v>35</v>
      </c>
      <c r="F19" s="66" t="s">
        <v>20</v>
      </c>
      <c r="G19" s="67">
        <v>0</v>
      </c>
      <c r="H19" s="68" t="s">
        <v>76</v>
      </c>
      <c r="I19" s="68" t="s">
        <v>77</v>
      </c>
      <c r="J19" s="66" t="s">
        <v>78</v>
      </c>
      <c r="K19" s="62"/>
      <c r="L19" s="62"/>
      <c r="M19" s="62"/>
      <c r="N19" s="66" t="s">
        <v>79</v>
      </c>
    </row>
    <row r="20" spans="1:14" ht="20.100000000000001" customHeight="1" x14ac:dyDescent="0.25">
      <c r="A20" s="64">
        <v>16</v>
      </c>
      <c r="B20" s="65" t="s">
        <v>74</v>
      </c>
      <c r="C20" s="66" t="s">
        <v>80</v>
      </c>
      <c r="D20" s="66" t="s">
        <v>65</v>
      </c>
      <c r="E20" s="69" t="s">
        <v>35</v>
      </c>
      <c r="F20" s="66" t="s">
        <v>20</v>
      </c>
      <c r="G20" s="67">
        <v>0</v>
      </c>
      <c r="H20" s="68" t="s">
        <v>81</v>
      </c>
      <c r="I20" s="68" t="s">
        <v>82</v>
      </c>
      <c r="J20" s="66" t="s">
        <v>83</v>
      </c>
      <c r="K20" s="62"/>
      <c r="L20" s="62"/>
      <c r="M20" s="62"/>
      <c r="N20" s="66" t="s">
        <v>84</v>
      </c>
    </row>
    <row r="21" spans="1:14" ht="20.100000000000001" customHeight="1" x14ac:dyDescent="0.25">
      <c r="A21" s="64">
        <v>17</v>
      </c>
      <c r="B21" s="65" t="s">
        <v>74</v>
      </c>
      <c r="C21" s="66" t="s">
        <v>85</v>
      </c>
      <c r="D21" s="66" t="s">
        <v>18</v>
      </c>
      <c r="E21" s="69" t="s">
        <v>35</v>
      </c>
      <c r="F21" s="66" t="s">
        <v>20</v>
      </c>
      <c r="G21" s="67">
        <v>0</v>
      </c>
      <c r="H21" s="68" t="s">
        <v>76</v>
      </c>
      <c r="I21" s="68" t="s">
        <v>77</v>
      </c>
      <c r="J21" s="66" t="s">
        <v>86</v>
      </c>
      <c r="K21" s="62"/>
      <c r="L21" s="62"/>
      <c r="M21" s="62"/>
      <c r="N21" s="66" t="s">
        <v>87</v>
      </c>
    </row>
    <row r="22" spans="1:14" ht="20.100000000000001" customHeight="1" x14ac:dyDescent="0.25">
      <c r="A22" s="64">
        <v>18</v>
      </c>
      <c r="B22" s="65" t="s">
        <v>74</v>
      </c>
      <c r="C22" s="66" t="s">
        <v>88</v>
      </c>
      <c r="D22" s="66" t="s">
        <v>43</v>
      </c>
      <c r="E22" s="65" t="s">
        <v>19</v>
      </c>
      <c r="F22" s="66" t="s">
        <v>20</v>
      </c>
      <c r="G22" s="67">
        <v>0</v>
      </c>
      <c r="H22" s="68" t="s">
        <v>89</v>
      </c>
      <c r="I22" s="68" t="s">
        <v>66</v>
      </c>
      <c r="J22" s="66" t="s">
        <v>32</v>
      </c>
      <c r="K22" s="62"/>
      <c r="L22" s="62"/>
      <c r="M22" s="62"/>
      <c r="N22" s="66" t="s">
        <v>90</v>
      </c>
    </row>
    <row r="23" spans="1:14" ht="20.100000000000001" customHeight="1" x14ac:dyDescent="0.25">
      <c r="A23" s="64">
        <v>19</v>
      </c>
      <c r="B23" s="65" t="s">
        <v>74</v>
      </c>
      <c r="C23" s="66" t="s">
        <v>91</v>
      </c>
      <c r="D23" s="66" t="s">
        <v>65</v>
      </c>
      <c r="E23" s="69" t="s">
        <v>92</v>
      </c>
      <c r="F23" s="66" t="s">
        <v>20</v>
      </c>
      <c r="G23" s="67">
        <v>0</v>
      </c>
      <c r="H23" s="68" t="s">
        <v>76</v>
      </c>
      <c r="I23" s="68" t="s">
        <v>77</v>
      </c>
      <c r="J23" s="66" t="s">
        <v>93</v>
      </c>
      <c r="K23" s="62"/>
      <c r="L23" s="62"/>
      <c r="M23" s="62"/>
      <c r="N23" s="66" t="s">
        <v>94</v>
      </c>
    </row>
    <row r="24" spans="1:14" ht="20.100000000000001" customHeight="1" x14ac:dyDescent="0.25">
      <c r="A24" s="64">
        <v>20</v>
      </c>
      <c r="B24" s="65" t="s">
        <v>74</v>
      </c>
      <c r="C24" s="66" t="s">
        <v>95</v>
      </c>
      <c r="D24" s="66" t="s">
        <v>43</v>
      </c>
      <c r="E24" s="65" t="s">
        <v>19</v>
      </c>
      <c r="F24" s="66" t="s">
        <v>20</v>
      </c>
      <c r="G24" s="67">
        <v>0</v>
      </c>
      <c r="H24" s="68" t="s">
        <v>37</v>
      </c>
      <c r="I24" s="68" t="s">
        <v>70</v>
      </c>
      <c r="J24" s="66" t="s">
        <v>38</v>
      </c>
      <c r="K24" s="62"/>
      <c r="L24" s="62"/>
      <c r="M24" s="62"/>
      <c r="N24" s="66" t="s">
        <v>96</v>
      </c>
    </row>
    <row r="25" spans="1:14" ht="20.100000000000001" customHeight="1" x14ac:dyDescent="0.25">
      <c r="A25" s="64">
        <v>21</v>
      </c>
      <c r="B25" s="65" t="s">
        <v>74</v>
      </c>
      <c r="C25" s="66" t="s">
        <v>97</v>
      </c>
      <c r="D25" s="66" t="s">
        <v>43</v>
      </c>
      <c r="E25" s="65" t="s">
        <v>19</v>
      </c>
      <c r="F25" s="66" t="s">
        <v>20</v>
      </c>
      <c r="G25" s="67">
        <v>0</v>
      </c>
      <c r="H25" s="68" t="s">
        <v>37</v>
      </c>
      <c r="I25" s="68" t="s">
        <v>70</v>
      </c>
      <c r="J25" s="66" t="s">
        <v>67</v>
      </c>
      <c r="K25" s="62"/>
      <c r="L25" s="62"/>
      <c r="M25" s="62"/>
      <c r="N25" s="66" t="s">
        <v>98</v>
      </c>
    </row>
    <row r="26" spans="1:14" ht="20.100000000000001" customHeight="1" x14ac:dyDescent="0.25">
      <c r="A26" s="64">
        <v>22</v>
      </c>
      <c r="B26" s="65" t="s">
        <v>74</v>
      </c>
      <c r="C26" s="66" t="s">
        <v>99</v>
      </c>
      <c r="D26" s="66" t="s">
        <v>18</v>
      </c>
      <c r="E26" s="69" t="s">
        <v>35</v>
      </c>
      <c r="F26" s="66" t="s">
        <v>20</v>
      </c>
      <c r="G26" s="67">
        <v>0</v>
      </c>
      <c r="H26" s="68" t="s">
        <v>81</v>
      </c>
      <c r="I26" s="68" t="s">
        <v>82</v>
      </c>
      <c r="J26" s="66" t="s">
        <v>100</v>
      </c>
      <c r="K26" s="62"/>
      <c r="L26" s="62"/>
      <c r="M26" s="62"/>
      <c r="N26" s="66" t="s">
        <v>101</v>
      </c>
    </row>
    <row r="27" spans="1:14" ht="20.100000000000001" customHeight="1" x14ac:dyDescent="0.25">
      <c r="A27" s="64">
        <v>23</v>
      </c>
      <c r="B27" s="65" t="s">
        <v>74</v>
      </c>
      <c r="C27" s="66" t="s">
        <v>102</v>
      </c>
      <c r="D27" s="66" t="s">
        <v>65</v>
      </c>
      <c r="E27" s="69" t="s">
        <v>92</v>
      </c>
      <c r="F27" s="66" t="s">
        <v>20</v>
      </c>
      <c r="G27" s="67">
        <v>0</v>
      </c>
      <c r="H27" s="68" t="s">
        <v>77</v>
      </c>
      <c r="I27" s="68" t="s">
        <v>103</v>
      </c>
      <c r="J27" s="66" t="s">
        <v>104</v>
      </c>
      <c r="K27" s="62"/>
      <c r="L27" s="62"/>
      <c r="M27" s="62"/>
      <c r="N27" s="66" t="s">
        <v>105</v>
      </c>
    </row>
    <row r="28" spans="1:14" ht="20.100000000000001" customHeight="1" x14ac:dyDescent="0.25">
      <c r="A28" s="64">
        <v>24</v>
      </c>
      <c r="B28" s="65" t="s">
        <v>74</v>
      </c>
      <c r="C28" s="66" t="s">
        <v>106</v>
      </c>
      <c r="D28" s="66" t="s">
        <v>65</v>
      </c>
      <c r="E28" s="69" t="s">
        <v>35</v>
      </c>
      <c r="F28" s="66" t="s">
        <v>20</v>
      </c>
      <c r="G28" s="67">
        <v>0</v>
      </c>
      <c r="H28" s="68" t="s">
        <v>76</v>
      </c>
      <c r="I28" s="68" t="s">
        <v>77</v>
      </c>
      <c r="J28" s="66" t="s">
        <v>93</v>
      </c>
      <c r="K28" s="62"/>
      <c r="L28" s="62"/>
      <c r="M28" s="62"/>
      <c r="N28" s="66" t="s">
        <v>107</v>
      </c>
    </row>
    <row r="29" spans="1:14" ht="20.100000000000001" customHeight="1" x14ac:dyDescent="0.25">
      <c r="A29" s="64">
        <v>25</v>
      </c>
      <c r="B29" s="65" t="s">
        <v>108</v>
      </c>
      <c r="C29" s="66" t="s">
        <v>109</v>
      </c>
      <c r="D29" s="66" t="s">
        <v>43</v>
      </c>
      <c r="E29" s="65" t="s">
        <v>19</v>
      </c>
      <c r="F29" s="66" t="s">
        <v>20</v>
      </c>
      <c r="G29" s="67">
        <v>0</v>
      </c>
      <c r="H29" s="68" t="s">
        <v>21</v>
      </c>
      <c r="I29" s="68" t="s">
        <v>47</v>
      </c>
      <c r="J29" s="66"/>
      <c r="K29" s="62"/>
      <c r="L29" s="62"/>
      <c r="M29" s="62"/>
      <c r="N29" s="66" t="s">
        <v>110</v>
      </c>
    </row>
    <row r="30" spans="1:14" ht="20.100000000000001" customHeight="1" x14ac:dyDescent="0.25">
      <c r="A30" s="64">
        <v>26</v>
      </c>
      <c r="B30" s="65" t="s">
        <v>108</v>
      </c>
      <c r="C30" s="66" t="s">
        <v>111</v>
      </c>
      <c r="D30" s="66" t="s">
        <v>112</v>
      </c>
      <c r="E30" s="65" t="s">
        <v>19</v>
      </c>
      <c r="F30" s="66" t="s">
        <v>20</v>
      </c>
      <c r="G30" s="67">
        <v>0</v>
      </c>
      <c r="H30" s="68" t="s">
        <v>36</v>
      </c>
      <c r="I30" s="68" t="s">
        <v>70</v>
      </c>
      <c r="J30" s="66" t="s">
        <v>113</v>
      </c>
      <c r="K30" s="62"/>
      <c r="L30" s="62"/>
      <c r="M30" s="62"/>
      <c r="N30" s="66" t="s">
        <v>114</v>
      </c>
    </row>
    <row r="31" spans="1:14" ht="20.100000000000001" customHeight="1" x14ac:dyDescent="0.25">
      <c r="A31" s="64">
        <v>27</v>
      </c>
      <c r="B31" s="65" t="s">
        <v>108</v>
      </c>
      <c r="C31" s="66" t="s">
        <v>115</v>
      </c>
      <c r="D31" s="66" t="s">
        <v>43</v>
      </c>
      <c r="E31" s="65" t="s">
        <v>19</v>
      </c>
      <c r="F31" s="66" t="s">
        <v>20</v>
      </c>
      <c r="G31" s="67">
        <v>0</v>
      </c>
      <c r="H31" s="68" t="s">
        <v>26</v>
      </c>
      <c r="I31" s="68" t="s">
        <v>116</v>
      </c>
      <c r="J31" s="66"/>
      <c r="K31" s="62"/>
      <c r="L31" s="62"/>
      <c r="M31" s="62"/>
      <c r="N31" s="66" t="s">
        <v>117</v>
      </c>
    </row>
    <row r="32" spans="1:14" ht="20.100000000000001" customHeight="1" x14ac:dyDescent="0.25">
      <c r="A32" s="64">
        <v>28</v>
      </c>
      <c r="B32" s="65" t="s">
        <v>108</v>
      </c>
      <c r="C32" s="66" t="s">
        <v>118</v>
      </c>
      <c r="D32" s="66" t="s">
        <v>43</v>
      </c>
      <c r="E32" s="65" t="s">
        <v>19</v>
      </c>
      <c r="F32" s="66" t="s">
        <v>20</v>
      </c>
      <c r="G32" s="67">
        <v>0</v>
      </c>
      <c r="H32" s="68" t="s">
        <v>116</v>
      </c>
      <c r="I32" s="68" t="s">
        <v>119</v>
      </c>
      <c r="J32" s="66" t="s">
        <v>120</v>
      </c>
      <c r="K32" s="62"/>
      <c r="L32" s="62"/>
      <c r="M32" s="62"/>
      <c r="N32" s="66" t="s">
        <v>121</v>
      </c>
    </row>
    <row r="33" spans="1:14" ht="20.100000000000001" customHeight="1" x14ac:dyDescent="0.25">
      <c r="A33" s="64">
        <v>29</v>
      </c>
      <c r="B33" s="65" t="s">
        <v>108</v>
      </c>
      <c r="C33" s="66" t="s">
        <v>122</v>
      </c>
      <c r="D33" s="66" t="s">
        <v>43</v>
      </c>
      <c r="E33" s="65" t="s">
        <v>19</v>
      </c>
      <c r="F33" s="66" t="s">
        <v>20</v>
      </c>
      <c r="G33" s="67">
        <v>0</v>
      </c>
      <c r="H33" s="68" t="s">
        <v>26</v>
      </c>
      <c r="I33" s="68" t="s">
        <v>119</v>
      </c>
      <c r="J33" s="66"/>
      <c r="K33" s="62"/>
      <c r="L33" s="62"/>
      <c r="M33" s="62"/>
      <c r="N33" s="66" t="s">
        <v>123</v>
      </c>
    </row>
    <row r="34" spans="1:14" ht="20.100000000000001" customHeight="1" x14ac:dyDescent="0.25">
      <c r="A34" s="64">
        <v>30</v>
      </c>
      <c r="B34" s="65" t="s">
        <v>108</v>
      </c>
      <c r="C34" s="66" t="s">
        <v>124</v>
      </c>
      <c r="D34" s="66" t="s">
        <v>43</v>
      </c>
      <c r="E34" s="65" t="s">
        <v>19</v>
      </c>
      <c r="F34" s="66" t="s">
        <v>20</v>
      </c>
      <c r="G34" s="67">
        <v>0</v>
      </c>
      <c r="H34" s="68" t="s">
        <v>119</v>
      </c>
      <c r="I34" s="68" t="s">
        <v>125</v>
      </c>
      <c r="J34" s="66" t="s">
        <v>126</v>
      </c>
      <c r="K34" s="62"/>
      <c r="L34" s="62"/>
      <c r="M34" s="62"/>
      <c r="N34" s="66" t="s">
        <v>127</v>
      </c>
    </row>
    <row r="35" spans="1:14" ht="20.100000000000001" customHeight="1" x14ac:dyDescent="0.25">
      <c r="A35" s="64">
        <v>31</v>
      </c>
      <c r="B35" s="65" t="s">
        <v>108</v>
      </c>
      <c r="C35" s="66" t="s">
        <v>128</v>
      </c>
      <c r="D35" s="66" t="s">
        <v>43</v>
      </c>
      <c r="E35" s="69" t="s">
        <v>35</v>
      </c>
      <c r="F35" s="66" t="s">
        <v>20</v>
      </c>
      <c r="G35" s="67">
        <v>0</v>
      </c>
      <c r="H35" s="68" t="s">
        <v>125</v>
      </c>
      <c r="I35" s="68" t="s">
        <v>129</v>
      </c>
      <c r="J35" s="66" t="s">
        <v>130</v>
      </c>
      <c r="K35" s="62"/>
      <c r="L35" s="62"/>
      <c r="M35" s="62"/>
      <c r="N35" s="66" t="s">
        <v>131</v>
      </c>
    </row>
    <row r="36" spans="1:14" ht="20.100000000000001" customHeight="1" x14ac:dyDescent="0.25">
      <c r="A36" s="64">
        <v>32</v>
      </c>
      <c r="B36" s="65" t="s">
        <v>108</v>
      </c>
      <c r="C36" s="66" t="s">
        <v>132</v>
      </c>
      <c r="D36" s="66" t="s">
        <v>43</v>
      </c>
      <c r="E36" s="69" t="s">
        <v>35</v>
      </c>
      <c r="F36" s="66" t="s">
        <v>20</v>
      </c>
      <c r="G36" s="67">
        <v>0</v>
      </c>
      <c r="H36" s="68" t="s">
        <v>119</v>
      </c>
      <c r="I36" s="68" t="s">
        <v>129</v>
      </c>
      <c r="J36" s="66" t="s">
        <v>133</v>
      </c>
      <c r="K36" s="62"/>
      <c r="L36" s="62"/>
      <c r="M36" s="62"/>
      <c r="N36" s="66" t="s">
        <v>134</v>
      </c>
    </row>
    <row r="37" spans="1:14" ht="20.100000000000001" customHeight="1" x14ac:dyDescent="0.25">
      <c r="A37" s="76">
        <v>33</v>
      </c>
      <c r="B37" s="72"/>
      <c r="C37" s="66" t="s">
        <v>135</v>
      </c>
      <c r="D37" s="71" t="s">
        <v>43</v>
      </c>
      <c r="E37" s="72"/>
      <c r="F37" s="66" t="s">
        <v>20</v>
      </c>
      <c r="G37" s="75">
        <v>0</v>
      </c>
      <c r="H37" s="72"/>
      <c r="I37" s="68" t="s">
        <v>70</v>
      </c>
      <c r="J37" s="66" t="s">
        <v>136</v>
      </c>
      <c r="K37" s="62"/>
      <c r="L37" s="62"/>
      <c r="M37" s="62"/>
      <c r="N37" s="66" t="s">
        <v>137</v>
      </c>
    </row>
    <row r="38" spans="1:14" ht="20.100000000000001" customHeight="1" x14ac:dyDescent="0.25">
      <c r="A38" s="64">
        <v>34</v>
      </c>
      <c r="B38" s="65" t="s">
        <v>108</v>
      </c>
      <c r="C38" s="66" t="s">
        <v>138</v>
      </c>
      <c r="D38" s="66" t="s">
        <v>43</v>
      </c>
      <c r="E38" s="69" t="s">
        <v>35</v>
      </c>
      <c r="F38" s="66" t="s">
        <v>20</v>
      </c>
      <c r="G38" s="67">
        <v>0</v>
      </c>
      <c r="H38" s="68" t="s">
        <v>30</v>
      </c>
      <c r="I38" s="68" t="s">
        <v>36</v>
      </c>
      <c r="J38" s="66" t="s">
        <v>44</v>
      </c>
      <c r="K38" s="62"/>
      <c r="L38" s="62"/>
      <c r="M38" s="62"/>
      <c r="N38" s="66" t="s">
        <v>139</v>
      </c>
    </row>
    <row r="39" spans="1:14" ht="20.100000000000001" customHeight="1" x14ac:dyDescent="0.25">
      <c r="A39" s="64">
        <v>35</v>
      </c>
      <c r="B39" s="65" t="s">
        <v>108</v>
      </c>
      <c r="C39" s="66" t="s">
        <v>140</v>
      </c>
      <c r="D39" s="66" t="s">
        <v>43</v>
      </c>
      <c r="E39" s="65" t="s">
        <v>19</v>
      </c>
      <c r="F39" s="66" t="s">
        <v>20</v>
      </c>
      <c r="G39" s="67">
        <v>0</v>
      </c>
      <c r="H39" s="68" t="s">
        <v>36</v>
      </c>
      <c r="I39" s="68" t="s">
        <v>70</v>
      </c>
      <c r="J39" s="66" t="s">
        <v>113</v>
      </c>
      <c r="K39" s="62"/>
      <c r="L39" s="62"/>
      <c r="M39" s="62"/>
      <c r="N39" s="66" t="s">
        <v>141</v>
      </c>
    </row>
    <row r="40" spans="1:14" ht="20.100000000000001" customHeight="1" x14ac:dyDescent="0.25">
      <c r="A40" s="64">
        <v>36</v>
      </c>
      <c r="B40" s="65" t="s">
        <v>142</v>
      </c>
      <c r="C40" s="66" t="s">
        <v>143</v>
      </c>
      <c r="D40" s="66" t="s">
        <v>18</v>
      </c>
      <c r="E40" s="69" t="s">
        <v>35</v>
      </c>
      <c r="F40" s="66" t="s">
        <v>20</v>
      </c>
      <c r="G40" s="67">
        <v>0</v>
      </c>
      <c r="H40" s="68" t="s">
        <v>26</v>
      </c>
      <c r="I40" s="68" t="s">
        <v>116</v>
      </c>
      <c r="J40" s="66"/>
      <c r="K40" s="62"/>
      <c r="L40" s="62"/>
      <c r="M40" s="62"/>
      <c r="N40" s="66" t="s">
        <v>144</v>
      </c>
    </row>
    <row r="41" spans="1:14" ht="20.100000000000001" customHeight="1" x14ac:dyDescent="0.25">
      <c r="A41" s="64">
        <v>37</v>
      </c>
      <c r="B41" s="65" t="s">
        <v>142</v>
      </c>
      <c r="C41" s="66" t="s">
        <v>145</v>
      </c>
      <c r="D41" s="66" t="s">
        <v>18</v>
      </c>
      <c r="E41" s="69" t="s">
        <v>35</v>
      </c>
      <c r="F41" s="66" t="s">
        <v>20</v>
      </c>
      <c r="G41" s="67">
        <v>0</v>
      </c>
      <c r="H41" s="68" t="s">
        <v>116</v>
      </c>
      <c r="I41" s="68" t="s">
        <v>119</v>
      </c>
      <c r="J41" s="66" t="s">
        <v>146</v>
      </c>
      <c r="K41" s="62"/>
      <c r="L41" s="62"/>
      <c r="M41" s="62"/>
      <c r="N41" s="66" t="s">
        <v>147</v>
      </c>
    </row>
    <row r="42" spans="1:14" ht="20.100000000000001" customHeight="1" x14ac:dyDescent="0.25">
      <c r="A42" s="64">
        <v>38</v>
      </c>
      <c r="B42" s="65" t="s">
        <v>142</v>
      </c>
      <c r="C42" s="66" t="s">
        <v>148</v>
      </c>
      <c r="D42" s="66" t="s">
        <v>18</v>
      </c>
      <c r="E42" s="69" t="s">
        <v>35</v>
      </c>
      <c r="F42" s="66" t="s">
        <v>20</v>
      </c>
      <c r="G42" s="67">
        <v>0</v>
      </c>
      <c r="H42" s="68" t="s">
        <v>119</v>
      </c>
      <c r="I42" s="68" t="s">
        <v>149</v>
      </c>
      <c r="J42" s="66" t="s">
        <v>150</v>
      </c>
      <c r="K42" s="62"/>
      <c r="L42" s="62"/>
      <c r="M42" s="62"/>
      <c r="N42" s="66" t="s">
        <v>151</v>
      </c>
    </row>
    <row r="43" spans="1:14" ht="20.100000000000001" customHeight="1" x14ac:dyDescent="0.25">
      <c r="A43" s="64">
        <v>39</v>
      </c>
      <c r="B43" s="65" t="s">
        <v>142</v>
      </c>
      <c r="C43" s="66" t="s">
        <v>152</v>
      </c>
      <c r="D43" s="66" t="s">
        <v>18</v>
      </c>
      <c r="E43" s="69" t="s">
        <v>35</v>
      </c>
      <c r="F43" s="66" t="s">
        <v>20</v>
      </c>
      <c r="G43" s="67">
        <v>0</v>
      </c>
      <c r="H43" s="68" t="s">
        <v>119</v>
      </c>
      <c r="I43" s="68" t="s">
        <v>149</v>
      </c>
      <c r="J43" s="66" t="s">
        <v>150</v>
      </c>
      <c r="K43" s="62"/>
      <c r="L43" s="62"/>
      <c r="M43" s="62"/>
      <c r="N43" s="66" t="s">
        <v>153</v>
      </c>
    </row>
    <row r="44" spans="1:14" ht="20.100000000000001" customHeight="1" x14ac:dyDescent="0.25">
      <c r="A44" s="64">
        <v>40</v>
      </c>
      <c r="B44" s="65" t="s">
        <v>142</v>
      </c>
      <c r="C44" s="66" t="s">
        <v>154</v>
      </c>
      <c r="D44" s="66" t="s">
        <v>65</v>
      </c>
      <c r="E44" s="69" t="s">
        <v>92</v>
      </c>
      <c r="F44" s="66" t="s">
        <v>20</v>
      </c>
      <c r="G44" s="67">
        <v>0</v>
      </c>
      <c r="H44" s="68" t="s">
        <v>77</v>
      </c>
      <c r="I44" s="68" t="s">
        <v>129</v>
      </c>
      <c r="J44" s="66" t="s">
        <v>146</v>
      </c>
      <c r="K44" s="62"/>
      <c r="L44" s="62"/>
      <c r="M44" s="62"/>
      <c r="N44" s="66" t="s">
        <v>155</v>
      </c>
    </row>
    <row r="45" spans="1:14" ht="20.100000000000001" customHeight="1" x14ac:dyDescent="0.25">
      <c r="A45" s="64">
        <v>41</v>
      </c>
      <c r="B45" s="65" t="s">
        <v>142</v>
      </c>
      <c r="C45" s="66" t="s">
        <v>156</v>
      </c>
      <c r="D45" s="66" t="s">
        <v>18</v>
      </c>
      <c r="E45" s="69" t="s">
        <v>92</v>
      </c>
      <c r="F45" s="66" t="s">
        <v>20</v>
      </c>
      <c r="G45" s="67">
        <v>0</v>
      </c>
      <c r="H45" s="68" t="s">
        <v>125</v>
      </c>
      <c r="I45" s="68" t="s">
        <v>82</v>
      </c>
      <c r="J45" s="66" t="s">
        <v>157</v>
      </c>
      <c r="K45" s="62"/>
      <c r="L45" s="62"/>
      <c r="M45" s="62"/>
      <c r="N45" s="66" t="s">
        <v>158</v>
      </c>
    </row>
    <row r="46" spans="1:14" ht="20.100000000000001" customHeight="1" x14ac:dyDescent="0.25">
      <c r="A46" s="64">
        <v>42</v>
      </c>
      <c r="B46" s="65" t="s">
        <v>142</v>
      </c>
      <c r="C46" s="66" t="s">
        <v>159</v>
      </c>
      <c r="D46" s="66" t="s">
        <v>18</v>
      </c>
      <c r="E46" s="69" t="s">
        <v>35</v>
      </c>
      <c r="F46" s="66" t="s">
        <v>20</v>
      </c>
      <c r="G46" s="67">
        <v>0</v>
      </c>
      <c r="H46" s="68" t="s">
        <v>82</v>
      </c>
      <c r="I46" s="68" t="s">
        <v>160</v>
      </c>
      <c r="J46" s="66" t="s">
        <v>38</v>
      </c>
      <c r="K46" s="62"/>
      <c r="L46" s="62"/>
      <c r="M46" s="62"/>
      <c r="N46" s="66"/>
    </row>
    <row r="47" spans="1:14" ht="20.100000000000001" customHeight="1" x14ac:dyDescent="0.25">
      <c r="A47" s="64">
        <v>43</v>
      </c>
      <c r="B47" s="65" t="s">
        <v>142</v>
      </c>
      <c r="C47" s="66" t="s">
        <v>161</v>
      </c>
      <c r="D47" s="66" t="s">
        <v>18</v>
      </c>
      <c r="E47" s="69" t="s">
        <v>92</v>
      </c>
      <c r="F47" s="66" t="s">
        <v>20</v>
      </c>
      <c r="G47" s="67">
        <v>0</v>
      </c>
      <c r="H47" s="68" t="s">
        <v>82</v>
      </c>
      <c r="I47" s="68" t="s">
        <v>160</v>
      </c>
      <c r="J47" s="66" t="s">
        <v>136</v>
      </c>
      <c r="K47" s="62"/>
      <c r="L47" s="62"/>
      <c r="M47" s="62"/>
      <c r="N47" s="66"/>
    </row>
    <row r="48" spans="1:14" ht="20.100000000000001" customHeight="1" x14ac:dyDescent="0.25">
      <c r="A48" s="64">
        <v>44</v>
      </c>
      <c r="B48" s="65" t="s">
        <v>142</v>
      </c>
      <c r="C48" s="66" t="s">
        <v>162</v>
      </c>
      <c r="D48" s="66" t="s">
        <v>43</v>
      </c>
      <c r="E48" s="69" t="s">
        <v>35</v>
      </c>
      <c r="F48" s="66" t="s">
        <v>20</v>
      </c>
      <c r="G48" s="67">
        <v>0</v>
      </c>
      <c r="H48" s="68" t="s">
        <v>82</v>
      </c>
      <c r="I48" s="68" t="s">
        <v>160</v>
      </c>
      <c r="J48" s="66" t="s">
        <v>126</v>
      </c>
      <c r="K48" s="62"/>
      <c r="L48" s="62"/>
      <c r="M48" s="62"/>
      <c r="N48" s="66"/>
    </row>
    <row r="49" spans="1:14" ht="20.100000000000001" customHeight="1" x14ac:dyDescent="0.25">
      <c r="A49" s="64">
        <v>45</v>
      </c>
      <c r="B49" s="65" t="s">
        <v>142</v>
      </c>
      <c r="C49" s="66" t="s">
        <v>163</v>
      </c>
      <c r="D49" s="66" t="s">
        <v>164</v>
      </c>
      <c r="E49" s="69" t="s">
        <v>35</v>
      </c>
      <c r="F49" s="66" t="s">
        <v>20</v>
      </c>
      <c r="G49" s="67">
        <v>0</v>
      </c>
      <c r="H49" s="68" t="s">
        <v>76</v>
      </c>
      <c r="I49" s="68" t="s">
        <v>125</v>
      </c>
      <c r="J49" s="66"/>
      <c r="K49" s="62"/>
      <c r="L49" s="62"/>
      <c r="M49" s="62"/>
      <c r="N49" s="66" t="s">
        <v>165</v>
      </c>
    </row>
    <row r="50" spans="1:14" ht="20.100000000000001" customHeight="1" x14ac:dyDescent="0.25">
      <c r="A50" s="64">
        <v>46</v>
      </c>
      <c r="B50" s="65" t="s">
        <v>166</v>
      </c>
      <c r="C50" s="66" t="s">
        <v>167</v>
      </c>
      <c r="D50" s="66" t="s">
        <v>112</v>
      </c>
      <c r="E50" s="65" t="s">
        <v>19</v>
      </c>
      <c r="F50" s="66" t="s">
        <v>20</v>
      </c>
      <c r="G50" s="67">
        <v>0</v>
      </c>
      <c r="H50" s="68" t="s">
        <v>36</v>
      </c>
      <c r="I50" s="68" t="s">
        <v>66</v>
      </c>
      <c r="J50" s="66"/>
      <c r="K50" s="62"/>
      <c r="L50" s="62"/>
      <c r="M50" s="62"/>
      <c r="N50" s="66" t="s">
        <v>168</v>
      </c>
    </row>
    <row r="51" spans="1:14" ht="20.100000000000001" customHeight="1" x14ac:dyDescent="0.25">
      <c r="A51" s="64">
        <v>47</v>
      </c>
      <c r="B51" s="65" t="s">
        <v>166</v>
      </c>
      <c r="C51" s="66" t="s">
        <v>169</v>
      </c>
      <c r="D51" s="66" t="s">
        <v>112</v>
      </c>
      <c r="E51" s="65" t="s">
        <v>19</v>
      </c>
      <c r="F51" s="66" t="s">
        <v>20</v>
      </c>
      <c r="G51" s="67">
        <v>0</v>
      </c>
      <c r="H51" s="68" t="s">
        <v>70</v>
      </c>
      <c r="I51" s="68" t="s">
        <v>125</v>
      </c>
      <c r="J51" s="66" t="s">
        <v>170</v>
      </c>
      <c r="K51" s="62"/>
      <c r="L51" s="62"/>
      <c r="M51" s="62"/>
      <c r="N51" s="66" t="s">
        <v>171</v>
      </c>
    </row>
    <row r="52" spans="1:14" ht="20.100000000000001" customHeight="1" x14ac:dyDescent="0.25">
      <c r="A52" s="64">
        <v>48</v>
      </c>
      <c r="B52" s="65" t="s">
        <v>166</v>
      </c>
      <c r="C52" s="66" t="s">
        <v>172</v>
      </c>
      <c r="D52" s="66" t="s">
        <v>112</v>
      </c>
      <c r="E52" s="65" t="s">
        <v>19</v>
      </c>
      <c r="F52" s="66" t="s">
        <v>20</v>
      </c>
      <c r="G52" s="67">
        <v>0</v>
      </c>
      <c r="H52" s="68" t="s">
        <v>70</v>
      </c>
      <c r="I52" s="68" t="s">
        <v>125</v>
      </c>
      <c r="J52" s="66" t="s">
        <v>173</v>
      </c>
      <c r="K52" s="62"/>
      <c r="L52" s="62"/>
      <c r="M52" s="62"/>
      <c r="N52" s="66" t="s">
        <v>174</v>
      </c>
    </row>
    <row r="53" spans="1:14" ht="20.100000000000001" customHeight="1" x14ac:dyDescent="0.25">
      <c r="A53" s="64">
        <v>49</v>
      </c>
      <c r="B53" s="65" t="s">
        <v>166</v>
      </c>
      <c r="C53" s="66" t="s">
        <v>175</v>
      </c>
      <c r="D53" s="66" t="s">
        <v>112</v>
      </c>
      <c r="E53" s="65" t="s">
        <v>19</v>
      </c>
      <c r="F53" s="66" t="s">
        <v>20</v>
      </c>
      <c r="G53" s="67">
        <v>0</v>
      </c>
      <c r="H53" s="68" t="s">
        <v>116</v>
      </c>
      <c r="I53" s="68" t="s">
        <v>119</v>
      </c>
      <c r="J53" s="66" t="s">
        <v>146</v>
      </c>
      <c r="K53" s="62"/>
      <c r="L53" s="62"/>
      <c r="M53" s="62"/>
      <c r="N53" s="66" t="s">
        <v>176</v>
      </c>
    </row>
    <row r="54" spans="1:14" ht="20.100000000000001" customHeight="1" x14ac:dyDescent="0.25">
      <c r="A54" s="64">
        <v>50</v>
      </c>
      <c r="B54" s="65" t="s">
        <v>166</v>
      </c>
      <c r="C54" s="66" t="s">
        <v>177</v>
      </c>
      <c r="D54" s="66" t="s">
        <v>112</v>
      </c>
      <c r="E54" s="65" t="s">
        <v>19</v>
      </c>
      <c r="F54" s="66" t="s">
        <v>20</v>
      </c>
      <c r="G54" s="67">
        <v>0</v>
      </c>
      <c r="H54" s="68" t="s">
        <v>26</v>
      </c>
      <c r="I54" s="68" t="s">
        <v>116</v>
      </c>
      <c r="J54" s="66"/>
      <c r="K54" s="62"/>
      <c r="L54" s="62"/>
      <c r="M54" s="62"/>
      <c r="N54" s="66" t="s">
        <v>178</v>
      </c>
    </row>
    <row r="55" spans="1:14" ht="20.100000000000001" customHeight="1" x14ac:dyDescent="0.25">
      <c r="A55" s="64">
        <v>51</v>
      </c>
      <c r="B55" s="65" t="s">
        <v>166</v>
      </c>
      <c r="C55" s="66" t="s">
        <v>179</v>
      </c>
      <c r="D55" s="66" t="s">
        <v>112</v>
      </c>
      <c r="E55" s="69" t="s">
        <v>35</v>
      </c>
      <c r="F55" s="66" t="s">
        <v>20</v>
      </c>
      <c r="G55" s="67">
        <v>0</v>
      </c>
      <c r="H55" s="68" t="s">
        <v>160</v>
      </c>
      <c r="I55" s="68" t="s">
        <v>180</v>
      </c>
      <c r="J55" s="66" t="s">
        <v>181</v>
      </c>
      <c r="K55" s="62"/>
      <c r="L55" s="62"/>
      <c r="M55" s="62"/>
      <c r="N55" s="66"/>
    </row>
    <row r="56" spans="1:14" ht="20.100000000000001" customHeight="1" x14ac:dyDescent="0.25">
      <c r="A56" s="64">
        <v>52</v>
      </c>
      <c r="B56" s="65" t="s">
        <v>166</v>
      </c>
      <c r="C56" s="66" t="s">
        <v>182</v>
      </c>
      <c r="D56" s="66" t="s">
        <v>43</v>
      </c>
      <c r="E56" s="65" t="s">
        <v>19</v>
      </c>
      <c r="F56" s="66" t="s">
        <v>20</v>
      </c>
      <c r="G56" s="67">
        <v>0</v>
      </c>
      <c r="H56" s="68" t="s">
        <v>160</v>
      </c>
      <c r="I56" s="68" t="s">
        <v>183</v>
      </c>
      <c r="J56" s="66" t="s">
        <v>184</v>
      </c>
      <c r="K56" s="62"/>
      <c r="L56" s="62"/>
      <c r="M56" s="62"/>
      <c r="N56" s="66" t="s">
        <v>185</v>
      </c>
    </row>
    <row r="57" spans="1:14" ht="20.100000000000001" customHeight="1" x14ac:dyDescent="0.25">
      <c r="A57" s="64">
        <v>53</v>
      </c>
      <c r="B57" s="65" t="s">
        <v>186</v>
      </c>
      <c r="C57" s="66" t="s">
        <v>187</v>
      </c>
      <c r="D57" s="66" t="s">
        <v>188</v>
      </c>
      <c r="E57" s="69" t="s">
        <v>92</v>
      </c>
      <c r="F57" s="66" t="s">
        <v>20</v>
      </c>
      <c r="G57" s="67">
        <v>0</v>
      </c>
      <c r="H57" s="68" t="s">
        <v>82</v>
      </c>
      <c r="I57" s="68" t="s">
        <v>189</v>
      </c>
      <c r="J57" s="66" t="s">
        <v>38</v>
      </c>
      <c r="K57" s="62"/>
      <c r="L57" s="62"/>
      <c r="M57" s="62"/>
      <c r="N57" s="66"/>
    </row>
    <row r="58" spans="1:14" ht="20.100000000000001" customHeight="1" x14ac:dyDescent="0.25">
      <c r="A58" s="64">
        <v>54</v>
      </c>
      <c r="B58" s="65" t="s">
        <v>186</v>
      </c>
      <c r="C58" s="66" t="s">
        <v>190</v>
      </c>
      <c r="D58" s="66" t="s">
        <v>188</v>
      </c>
      <c r="E58" s="69" t="s">
        <v>92</v>
      </c>
      <c r="F58" s="66" t="s">
        <v>20</v>
      </c>
      <c r="G58" s="67">
        <v>0</v>
      </c>
      <c r="H58" s="68" t="s">
        <v>82</v>
      </c>
      <c r="I58" s="68" t="s">
        <v>189</v>
      </c>
      <c r="J58" s="66" t="s">
        <v>191</v>
      </c>
      <c r="K58" s="62"/>
      <c r="L58" s="62"/>
      <c r="M58" s="62"/>
      <c r="N58" s="66"/>
    </row>
    <row r="59" spans="1:14" ht="20.100000000000001" customHeight="1" x14ac:dyDescent="0.25">
      <c r="A59" s="64">
        <v>55</v>
      </c>
      <c r="B59" s="65" t="s">
        <v>186</v>
      </c>
      <c r="C59" s="66" t="s">
        <v>192</v>
      </c>
      <c r="D59" s="66" t="s">
        <v>188</v>
      </c>
      <c r="E59" s="69" t="s">
        <v>92</v>
      </c>
      <c r="F59" s="66" t="s">
        <v>20</v>
      </c>
      <c r="G59" s="67">
        <v>0</v>
      </c>
      <c r="H59" s="68" t="s">
        <v>82</v>
      </c>
      <c r="I59" s="68" t="s">
        <v>189</v>
      </c>
      <c r="J59" s="66" t="s">
        <v>86</v>
      </c>
      <c r="K59" s="62"/>
      <c r="L59" s="62"/>
      <c r="M59" s="62"/>
      <c r="N59" s="66"/>
    </row>
    <row r="60" spans="1:14" ht="20.100000000000001" customHeight="1" x14ac:dyDescent="0.25">
      <c r="A60" s="64">
        <v>56</v>
      </c>
      <c r="B60" s="65" t="s">
        <v>186</v>
      </c>
      <c r="C60" s="66" t="s">
        <v>193</v>
      </c>
      <c r="D60" s="66" t="s">
        <v>188</v>
      </c>
      <c r="E60" s="69" t="s">
        <v>92</v>
      </c>
      <c r="F60" s="66" t="s">
        <v>20</v>
      </c>
      <c r="G60" s="67">
        <v>0</v>
      </c>
      <c r="H60" s="68" t="s">
        <v>129</v>
      </c>
      <c r="I60" s="68" t="s">
        <v>180</v>
      </c>
      <c r="J60" s="66" t="s">
        <v>194</v>
      </c>
      <c r="K60" s="62"/>
      <c r="L60" s="62"/>
      <c r="M60" s="62"/>
      <c r="N60" s="66"/>
    </row>
    <row r="61" spans="1:14" ht="20.100000000000001" customHeight="1" x14ac:dyDescent="0.25">
      <c r="A61" s="64">
        <v>57</v>
      </c>
      <c r="B61" s="65" t="s">
        <v>186</v>
      </c>
      <c r="C61" s="66" t="s">
        <v>195</v>
      </c>
      <c r="D61" s="66" t="s">
        <v>188</v>
      </c>
      <c r="E61" s="69" t="s">
        <v>92</v>
      </c>
      <c r="F61" s="66" t="s">
        <v>20</v>
      </c>
      <c r="G61" s="67">
        <v>0</v>
      </c>
      <c r="H61" s="68" t="s">
        <v>129</v>
      </c>
      <c r="I61" s="68" t="s">
        <v>180</v>
      </c>
      <c r="J61" s="66" t="s">
        <v>196</v>
      </c>
      <c r="K61" s="62"/>
      <c r="L61" s="62"/>
      <c r="M61" s="62"/>
      <c r="N61" s="66"/>
    </row>
    <row r="62" spans="1:14" ht="20.100000000000001" customHeight="1" x14ac:dyDescent="0.25">
      <c r="A62" s="64">
        <v>58</v>
      </c>
      <c r="B62" s="65" t="s">
        <v>186</v>
      </c>
      <c r="C62" s="66" t="s">
        <v>197</v>
      </c>
      <c r="D62" s="66" t="s">
        <v>188</v>
      </c>
      <c r="E62" s="69" t="s">
        <v>92</v>
      </c>
      <c r="F62" s="66" t="s">
        <v>20</v>
      </c>
      <c r="G62" s="67">
        <v>0</v>
      </c>
      <c r="H62" s="68" t="s">
        <v>160</v>
      </c>
      <c r="I62" s="68" t="s">
        <v>198</v>
      </c>
      <c r="J62" s="66" t="s">
        <v>38</v>
      </c>
      <c r="K62" s="62"/>
      <c r="L62" s="62"/>
      <c r="M62" s="62"/>
      <c r="N62" s="66"/>
    </row>
    <row r="63" spans="1:14" ht="20.100000000000001" customHeight="1" x14ac:dyDescent="0.25">
      <c r="A63" s="64">
        <v>59</v>
      </c>
      <c r="B63" s="65" t="s">
        <v>186</v>
      </c>
      <c r="C63" s="66" t="s">
        <v>199</v>
      </c>
      <c r="D63" s="66" t="s">
        <v>188</v>
      </c>
      <c r="E63" s="69" t="s">
        <v>35</v>
      </c>
      <c r="F63" s="66" t="s">
        <v>20</v>
      </c>
      <c r="G63" s="67">
        <v>0</v>
      </c>
      <c r="H63" s="68" t="s">
        <v>160</v>
      </c>
      <c r="I63" s="68" t="s">
        <v>198</v>
      </c>
      <c r="J63" s="66" t="s">
        <v>200</v>
      </c>
      <c r="K63" s="62"/>
      <c r="L63" s="62"/>
      <c r="M63" s="62"/>
      <c r="N63" s="66"/>
    </row>
    <row r="64" spans="1:14" ht="20.100000000000001" customHeight="1" x14ac:dyDescent="0.25">
      <c r="A64" s="64">
        <v>60</v>
      </c>
      <c r="B64" s="65" t="s">
        <v>186</v>
      </c>
      <c r="C64" s="66" t="s">
        <v>201</v>
      </c>
      <c r="D64" s="66" t="s">
        <v>188</v>
      </c>
      <c r="E64" s="69" t="s">
        <v>35</v>
      </c>
      <c r="F64" s="66" t="s">
        <v>20</v>
      </c>
      <c r="G64" s="67">
        <v>0</v>
      </c>
      <c r="H64" s="68" t="s">
        <v>189</v>
      </c>
      <c r="I64" s="68" t="s">
        <v>183</v>
      </c>
      <c r="J64" s="66"/>
      <c r="K64" s="62"/>
      <c r="L64" s="62"/>
      <c r="M64" s="62"/>
      <c r="N64" s="66" t="s">
        <v>202</v>
      </c>
    </row>
    <row r="65" spans="1:14" ht="20.100000000000001" customHeight="1" x14ac:dyDescent="0.25">
      <c r="A65" s="64">
        <v>61</v>
      </c>
      <c r="B65" s="65" t="s">
        <v>186</v>
      </c>
      <c r="C65" s="66" t="s">
        <v>203</v>
      </c>
      <c r="D65" s="66" t="s">
        <v>188</v>
      </c>
      <c r="E65" s="69" t="s">
        <v>92</v>
      </c>
      <c r="F65" s="66" t="s">
        <v>20</v>
      </c>
      <c r="G65" s="67">
        <v>0</v>
      </c>
      <c r="H65" s="68" t="s">
        <v>189</v>
      </c>
      <c r="I65" s="68" t="s">
        <v>204</v>
      </c>
      <c r="J65" s="66" t="s">
        <v>205</v>
      </c>
      <c r="K65" s="62"/>
      <c r="L65" s="62"/>
      <c r="M65" s="62"/>
      <c r="N65" s="66" t="s">
        <v>206</v>
      </c>
    </row>
    <row r="66" spans="1:14" ht="20.100000000000001" customHeight="1" x14ac:dyDescent="0.25">
      <c r="A66" s="64">
        <v>62</v>
      </c>
      <c r="B66" s="65" t="s">
        <v>186</v>
      </c>
      <c r="C66" s="66" t="s">
        <v>207</v>
      </c>
      <c r="D66" s="66" t="s">
        <v>188</v>
      </c>
      <c r="E66" s="69" t="s">
        <v>208</v>
      </c>
      <c r="F66" s="66" t="s">
        <v>20</v>
      </c>
      <c r="G66" s="67">
        <v>0</v>
      </c>
      <c r="H66" s="68" t="s">
        <v>180</v>
      </c>
      <c r="I66" s="68" t="s">
        <v>209</v>
      </c>
      <c r="J66" s="66" t="s">
        <v>194</v>
      </c>
      <c r="K66" s="62"/>
      <c r="L66" s="62"/>
      <c r="M66" s="62"/>
      <c r="N66" s="66"/>
    </row>
    <row r="67" spans="1:14" x14ac:dyDescent="0.25">
      <c r="A67" s="64"/>
      <c r="B67" s="66"/>
      <c r="C67" s="66"/>
      <c r="D67" s="66"/>
      <c r="E67" s="66"/>
      <c r="F67" s="66"/>
      <c r="G67" s="64"/>
      <c r="H67" s="66"/>
      <c r="I67" s="66"/>
      <c r="J67" s="66"/>
      <c r="K67" s="62"/>
      <c r="L67" s="62"/>
      <c r="M67" s="62"/>
      <c r="N67" s="66"/>
    </row>
    <row r="68" spans="1:14" x14ac:dyDescent="0.25">
      <c r="A68" s="64"/>
      <c r="B68" s="66"/>
      <c r="C68" s="66"/>
      <c r="D68" s="66"/>
      <c r="E68" s="66"/>
      <c r="F68" s="66"/>
      <c r="G68" s="64"/>
      <c r="H68" s="66"/>
      <c r="I68" s="66"/>
      <c r="J68" s="66"/>
      <c r="K68" s="62"/>
      <c r="L68" s="62"/>
      <c r="M68" s="62"/>
      <c r="N68" s="66"/>
    </row>
    <row r="69" spans="1:14" x14ac:dyDescent="0.25">
      <c r="A69" s="64"/>
      <c r="B69" s="66"/>
      <c r="C69" s="66"/>
      <c r="D69" s="66"/>
      <c r="E69" s="66"/>
      <c r="F69" s="66"/>
      <c r="G69" s="64"/>
      <c r="H69" s="66"/>
      <c r="I69" s="66"/>
      <c r="J69" s="66"/>
      <c r="K69" s="62"/>
      <c r="L69" s="62"/>
      <c r="M69" s="62"/>
      <c r="N69" s="66"/>
    </row>
    <row r="70" spans="1:14" x14ac:dyDescent="0.25">
      <c r="A70" s="64"/>
      <c r="B70" s="66"/>
      <c r="C70" s="66"/>
      <c r="D70" s="66"/>
      <c r="E70" s="66"/>
      <c r="F70" s="66"/>
      <c r="G70" s="64"/>
      <c r="H70" s="66"/>
      <c r="I70" s="66"/>
      <c r="J70" s="66"/>
      <c r="K70" s="62"/>
      <c r="L70" s="62"/>
      <c r="M70" s="62"/>
      <c r="N70" s="66"/>
    </row>
    <row r="71" spans="1:14" x14ac:dyDescent="0.25">
      <c r="A71" s="64"/>
      <c r="B71" s="66"/>
      <c r="C71" s="66"/>
      <c r="D71" s="66"/>
      <c r="E71" s="66"/>
      <c r="F71" s="66"/>
      <c r="G71" s="64"/>
      <c r="H71" s="66"/>
      <c r="I71" s="66"/>
      <c r="J71" s="66"/>
      <c r="K71" s="62"/>
      <c r="L71" s="62"/>
      <c r="M71" s="62"/>
      <c r="N71" s="66"/>
    </row>
    <row r="72" spans="1:14" x14ac:dyDescent="0.25">
      <c r="A72" s="64"/>
      <c r="B72" s="66"/>
      <c r="C72" s="66"/>
      <c r="D72" s="66"/>
      <c r="E72" s="66"/>
      <c r="F72" s="66"/>
      <c r="G72" s="64"/>
      <c r="H72" s="66"/>
      <c r="I72" s="66"/>
      <c r="J72" s="66"/>
      <c r="K72" s="62"/>
      <c r="L72" s="62"/>
      <c r="M72" s="62"/>
      <c r="N72" s="66"/>
    </row>
    <row r="73" spans="1:14" x14ac:dyDescent="0.25">
      <c r="A73" s="64"/>
      <c r="B73" s="66"/>
      <c r="C73" s="66"/>
      <c r="D73" s="66"/>
      <c r="E73" s="66"/>
      <c r="F73" s="66"/>
      <c r="G73" s="64"/>
      <c r="H73" s="66"/>
      <c r="I73" s="66"/>
      <c r="J73" s="66"/>
      <c r="K73" s="62"/>
      <c r="L73" s="62"/>
      <c r="M73" s="62"/>
      <c r="N73" s="66"/>
    </row>
    <row r="74" spans="1:14" x14ac:dyDescent="0.25">
      <c r="A74" s="64"/>
      <c r="B74" s="66"/>
      <c r="C74" s="66"/>
      <c r="D74" s="66"/>
      <c r="E74" s="66"/>
      <c r="F74" s="66"/>
      <c r="G74" s="64"/>
      <c r="H74" s="66"/>
      <c r="I74" s="66"/>
      <c r="J74" s="66"/>
      <c r="K74" s="62"/>
      <c r="L74" s="62"/>
      <c r="M74" s="62"/>
      <c r="N74" s="66"/>
    </row>
    <row r="75" spans="1:14" x14ac:dyDescent="0.25">
      <c r="A75" s="64"/>
      <c r="B75" s="66"/>
      <c r="C75" s="66"/>
      <c r="D75" s="66"/>
      <c r="E75" s="66"/>
      <c r="F75" s="66"/>
      <c r="G75" s="64"/>
      <c r="H75" s="66"/>
      <c r="I75" s="66"/>
      <c r="J75" s="66"/>
      <c r="K75" s="62"/>
      <c r="L75" s="62"/>
      <c r="M75" s="62"/>
      <c r="N75" s="66"/>
    </row>
    <row r="76" spans="1:14" x14ac:dyDescent="0.25">
      <c r="A76" s="64"/>
      <c r="B76" s="66"/>
      <c r="C76" s="66"/>
      <c r="D76" s="66"/>
      <c r="E76" s="66"/>
      <c r="F76" s="66"/>
      <c r="G76" s="64"/>
      <c r="H76" s="66"/>
      <c r="I76" s="66"/>
      <c r="J76" s="66"/>
      <c r="K76" s="62"/>
      <c r="L76" s="62"/>
      <c r="M76" s="62"/>
      <c r="N76" s="66"/>
    </row>
    <row r="77" spans="1:14" x14ac:dyDescent="0.25">
      <c r="A77" s="64"/>
      <c r="B77" s="66"/>
      <c r="C77" s="66"/>
      <c r="D77" s="66"/>
      <c r="E77" s="66"/>
      <c r="F77" s="66"/>
      <c r="G77" s="64"/>
      <c r="H77" s="66"/>
      <c r="I77" s="66"/>
      <c r="J77" s="66"/>
      <c r="K77" s="62"/>
      <c r="L77" s="62"/>
      <c r="M77" s="62"/>
      <c r="N77" s="66"/>
    </row>
    <row r="78" spans="1:14" x14ac:dyDescent="0.25">
      <c r="A78" s="64"/>
      <c r="B78" s="66"/>
      <c r="C78" s="66"/>
      <c r="D78" s="66"/>
      <c r="E78" s="66"/>
      <c r="F78" s="66"/>
      <c r="G78" s="64"/>
      <c r="H78" s="66"/>
      <c r="I78" s="66"/>
      <c r="J78" s="66"/>
      <c r="K78" s="62"/>
      <c r="L78" s="62"/>
      <c r="M78" s="62"/>
      <c r="N78" s="66"/>
    </row>
    <row r="79" spans="1:14" x14ac:dyDescent="0.25">
      <c r="A79" s="64"/>
      <c r="B79" s="66"/>
      <c r="C79" s="66"/>
      <c r="D79" s="66"/>
      <c r="E79" s="66"/>
      <c r="F79" s="66"/>
      <c r="G79" s="64"/>
      <c r="H79" s="66"/>
      <c r="I79" s="66"/>
      <c r="J79" s="66"/>
      <c r="K79" s="62"/>
      <c r="L79" s="62"/>
      <c r="M79" s="62"/>
      <c r="N79" s="66"/>
    </row>
    <row r="80" spans="1:14" x14ac:dyDescent="0.25">
      <c r="A80" s="64"/>
      <c r="B80" s="66"/>
      <c r="C80" s="66"/>
      <c r="D80" s="66"/>
      <c r="E80" s="66"/>
      <c r="F80" s="66"/>
      <c r="G80" s="64"/>
      <c r="H80" s="66"/>
      <c r="I80" s="66"/>
      <c r="J80" s="66"/>
      <c r="K80" s="62"/>
      <c r="L80" s="62"/>
      <c r="M80" s="62"/>
      <c r="N80" s="66"/>
    </row>
    <row r="81" spans="1:14" x14ac:dyDescent="0.25">
      <c r="A81" s="64"/>
      <c r="B81" s="66"/>
      <c r="C81" s="66"/>
      <c r="D81" s="66"/>
      <c r="E81" s="66"/>
      <c r="F81" s="66"/>
      <c r="G81" s="64"/>
      <c r="H81" s="66"/>
      <c r="I81" s="66"/>
      <c r="J81" s="66"/>
      <c r="K81" s="62"/>
      <c r="L81" s="62"/>
      <c r="M81" s="62"/>
      <c r="N81" s="66"/>
    </row>
    <row r="82" spans="1:14" x14ac:dyDescent="0.25">
      <c r="A82" s="64"/>
      <c r="B82" s="66"/>
      <c r="C82" s="66"/>
      <c r="D82" s="66"/>
      <c r="E82" s="66"/>
      <c r="F82" s="66"/>
      <c r="G82" s="64"/>
      <c r="H82" s="66"/>
      <c r="I82" s="66"/>
      <c r="J82" s="66"/>
      <c r="K82" s="62"/>
      <c r="L82" s="62"/>
      <c r="M82" s="62"/>
      <c r="N82" s="66"/>
    </row>
    <row r="83" spans="1:14" x14ac:dyDescent="0.25">
      <c r="A83" s="64"/>
      <c r="B83" s="66"/>
      <c r="C83" s="66"/>
      <c r="D83" s="66"/>
      <c r="E83" s="66"/>
      <c r="F83" s="66"/>
      <c r="G83" s="64"/>
      <c r="H83" s="66"/>
      <c r="I83" s="66"/>
      <c r="J83" s="66"/>
      <c r="K83" s="62"/>
      <c r="L83" s="62"/>
      <c r="M83" s="62"/>
      <c r="N83" s="66"/>
    </row>
    <row r="84" spans="1:14" x14ac:dyDescent="0.25">
      <c r="A84" s="64"/>
      <c r="B84" s="66"/>
      <c r="C84" s="66"/>
      <c r="D84" s="66"/>
      <c r="E84" s="66"/>
      <c r="F84" s="66"/>
      <c r="G84" s="64"/>
      <c r="H84" s="66"/>
      <c r="I84" s="66"/>
      <c r="J84" s="66"/>
      <c r="K84" s="62"/>
      <c r="L84" s="62"/>
      <c r="M84" s="62"/>
      <c r="N84" s="66"/>
    </row>
    <row r="85" spans="1:14" x14ac:dyDescent="0.25">
      <c r="A85" s="64"/>
      <c r="B85" s="66"/>
      <c r="C85" s="66"/>
      <c r="D85" s="66"/>
      <c r="E85" s="66"/>
      <c r="F85" s="66"/>
      <c r="G85" s="64"/>
      <c r="H85" s="66"/>
      <c r="I85" s="66"/>
      <c r="J85" s="66"/>
      <c r="K85" s="62"/>
      <c r="L85" s="62"/>
      <c r="M85" s="62"/>
      <c r="N85" s="66"/>
    </row>
    <row r="86" spans="1:14" x14ac:dyDescent="0.25">
      <c r="A86" s="64"/>
      <c r="B86" s="66"/>
      <c r="C86" s="66"/>
      <c r="D86" s="66"/>
      <c r="E86" s="66"/>
      <c r="F86" s="66"/>
      <c r="G86" s="64"/>
      <c r="H86" s="66"/>
      <c r="I86" s="66"/>
      <c r="J86" s="66"/>
      <c r="K86" s="62"/>
      <c r="L86" s="62"/>
      <c r="M86" s="62"/>
      <c r="N86" s="66"/>
    </row>
    <row r="87" spans="1:14" x14ac:dyDescent="0.25">
      <c r="A87" s="64"/>
      <c r="B87" s="66"/>
      <c r="C87" s="66"/>
      <c r="D87" s="66"/>
      <c r="E87" s="66"/>
      <c r="F87" s="66"/>
      <c r="G87" s="64"/>
      <c r="H87" s="66"/>
      <c r="I87" s="66"/>
      <c r="J87" s="66"/>
      <c r="K87" s="62"/>
      <c r="L87" s="62"/>
      <c r="M87" s="62"/>
      <c r="N87" s="66"/>
    </row>
    <row r="88" spans="1:14" x14ac:dyDescent="0.25">
      <c r="A88" s="64"/>
      <c r="B88" s="66"/>
      <c r="C88" s="66"/>
      <c r="D88" s="66"/>
      <c r="E88" s="66"/>
      <c r="F88" s="66"/>
      <c r="G88" s="64"/>
      <c r="H88" s="66"/>
      <c r="I88" s="66"/>
      <c r="J88" s="66"/>
      <c r="K88" s="62"/>
      <c r="L88" s="62"/>
      <c r="M88" s="62"/>
      <c r="N88" s="66"/>
    </row>
    <row r="89" spans="1:14" x14ac:dyDescent="0.25">
      <c r="A89" s="64"/>
      <c r="B89" s="66"/>
      <c r="C89" s="66"/>
      <c r="D89" s="66"/>
      <c r="E89" s="66"/>
      <c r="F89" s="66"/>
      <c r="G89" s="64"/>
      <c r="H89" s="66"/>
      <c r="I89" s="66"/>
      <c r="J89" s="66"/>
      <c r="K89" s="62"/>
      <c r="L89" s="62"/>
      <c r="M89" s="62"/>
      <c r="N89" s="66"/>
    </row>
    <row r="90" spans="1:14" x14ac:dyDescent="0.25">
      <c r="A90" s="64"/>
      <c r="B90" s="66"/>
      <c r="C90" s="66"/>
      <c r="D90" s="66"/>
      <c r="E90" s="66"/>
      <c r="F90" s="66"/>
      <c r="G90" s="64"/>
      <c r="H90" s="66"/>
      <c r="I90" s="66"/>
      <c r="J90" s="66"/>
      <c r="K90" s="62"/>
      <c r="L90" s="62"/>
      <c r="M90" s="62"/>
      <c r="N90" s="66"/>
    </row>
    <row r="91" spans="1:14" x14ac:dyDescent="0.25">
      <c r="A91" s="64"/>
      <c r="B91" s="66"/>
      <c r="C91" s="66"/>
      <c r="D91" s="66"/>
      <c r="E91" s="66"/>
      <c r="F91" s="66"/>
      <c r="G91" s="64"/>
      <c r="H91" s="66"/>
      <c r="I91" s="66"/>
      <c r="J91" s="66"/>
      <c r="K91" s="62"/>
      <c r="L91" s="62"/>
      <c r="M91" s="62"/>
      <c r="N91" s="66"/>
    </row>
    <row r="92" spans="1:14" x14ac:dyDescent="0.25">
      <c r="A92" s="64"/>
      <c r="B92" s="66"/>
      <c r="C92" s="66"/>
      <c r="D92" s="66"/>
      <c r="E92" s="66"/>
      <c r="F92" s="66"/>
      <c r="G92" s="64"/>
      <c r="H92" s="66"/>
      <c r="I92" s="66"/>
      <c r="J92" s="66"/>
      <c r="K92" s="62"/>
      <c r="L92" s="62"/>
      <c r="M92" s="62"/>
      <c r="N92" s="66"/>
    </row>
    <row r="93" spans="1:14" x14ac:dyDescent="0.25">
      <c r="A93" s="64"/>
      <c r="B93" s="66"/>
      <c r="C93" s="66"/>
      <c r="D93" s="66"/>
      <c r="E93" s="66"/>
      <c r="F93" s="66"/>
      <c r="G93" s="64"/>
      <c r="H93" s="66"/>
      <c r="I93" s="66"/>
      <c r="J93" s="66"/>
      <c r="K93" s="62"/>
      <c r="L93" s="62"/>
      <c r="M93" s="62"/>
      <c r="N93" s="66"/>
    </row>
    <row r="94" spans="1:14" x14ac:dyDescent="0.25">
      <c r="A94" s="64"/>
      <c r="B94" s="66"/>
      <c r="C94" s="66"/>
      <c r="D94" s="66"/>
      <c r="E94" s="66"/>
      <c r="F94" s="66"/>
      <c r="G94" s="64"/>
      <c r="H94" s="66"/>
      <c r="I94" s="66"/>
      <c r="J94" s="66"/>
      <c r="K94" s="62"/>
      <c r="L94" s="62"/>
      <c r="M94" s="62"/>
      <c r="N94" s="66"/>
    </row>
    <row r="95" spans="1:14" x14ac:dyDescent="0.25">
      <c r="A95" s="64"/>
      <c r="B95" s="66"/>
      <c r="C95" s="66"/>
      <c r="D95" s="66"/>
      <c r="E95" s="66"/>
      <c r="F95" s="66"/>
      <c r="G95" s="64"/>
      <c r="H95" s="66"/>
      <c r="I95" s="66"/>
      <c r="J95" s="66"/>
      <c r="K95" s="62"/>
      <c r="L95" s="62"/>
      <c r="M95" s="62"/>
      <c r="N95" s="66"/>
    </row>
    <row r="96" spans="1:14" x14ac:dyDescent="0.25">
      <c r="A96" s="64"/>
      <c r="B96" s="66"/>
      <c r="C96" s="66"/>
      <c r="D96" s="66"/>
      <c r="E96" s="66"/>
      <c r="F96" s="66"/>
      <c r="G96" s="64"/>
      <c r="H96" s="66"/>
      <c r="I96" s="66"/>
      <c r="J96" s="66"/>
      <c r="K96" s="62"/>
      <c r="L96" s="62"/>
      <c r="M96" s="62"/>
      <c r="N96" s="66"/>
    </row>
    <row r="97" spans="1:14" x14ac:dyDescent="0.25">
      <c r="A97" s="64"/>
      <c r="B97" s="66"/>
      <c r="C97" s="66"/>
      <c r="D97" s="66"/>
      <c r="E97" s="66"/>
      <c r="F97" s="66"/>
      <c r="G97" s="64"/>
      <c r="H97" s="66"/>
      <c r="I97" s="66"/>
      <c r="J97" s="66"/>
      <c r="K97" s="62"/>
      <c r="L97" s="62"/>
      <c r="M97" s="62"/>
      <c r="N97" s="66"/>
    </row>
    <row r="98" spans="1:14" x14ac:dyDescent="0.25">
      <c r="A98" s="64"/>
      <c r="B98" s="66"/>
      <c r="C98" s="66"/>
      <c r="D98" s="66"/>
      <c r="E98" s="66"/>
      <c r="F98" s="66"/>
      <c r="G98" s="64"/>
      <c r="H98" s="66"/>
      <c r="I98" s="66"/>
      <c r="J98" s="66"/>
      <c r="K98" s="62"/>
      <c r="L98" s="62"/>
      <c r="M98" s="62"/>
      <c r="N98" s="66"/>
    </row>
    <row r="99" spans="1:14" x14ac:dyDescent="0.25">
      <c r="A99" s="64"/>
      <c r="B99" s="66"/>
      <c r="C99" s="66"/>
      <c r="D99" s="66"/>
      <c r="E99" s="66"/>
      <c r="F99" s="66"/>
      <c r="G99" s="64"/>
      <c r="H99" s="66"/>
      <c r="I99" s="66"/>
      <c r="J99" s="66"/>
      <c r="K99" s="62"/>
      <c r="L99" s="62"/>
      <c r="M99" s="62"/>
      <c r="N99" s="66"/>
    </row>
    <row r="100" spans="1:14" x14ac:dyDescent="0.25">
      <c r="A100" s="70"/>
      <c r="B100" s="62"/>
      <c r="C100" s="62"/>
      <c r="D100" s="62"/>
      <c r="E100" s="62"/>
      <c r="F100" s="62"/>
      <c r="G100" s="70"/>
      <c r="H100" s="62"/>
      <c r="I100" s="62"/>
      <c r="J100" s="62"/>
      <c r="K100" s="62"/>
      <c r="L100" s="62"/>
      <c r="M100" s="62"/>
      <c r="N100" s="62"/>
    </row>
    <row r="101" spans="1:14" x14ac:dyDescent="0.25">
      <c r="A101" s="70"/>
      <c r="B101" s="62"/>
      <c r="C101" s="62"/>
      <c r="D101" s="62"/>
      <c r="E101" s="62"/>
      <c r="F101" s="62"/>
      <c r="G101" s="70"/>
      <c r="H101" s="62"/>
      <c r="I101" s="62"/>
      <c r="J101" s="62"/>
      <c r="K101" s="62"/>
      <c r="L101" s="62"/>
      <c r="M101" s="62"/>
      <c r="N101" s="62"/>
    </row>
    <row r="102" spans="1:14" x14ac:dyDescent="0.25">
      <c r="A102" s="70"/>
      <c r="B102" s="62"/>
      <c r="C102" s="62"/>
      <c r="D102" s="62"/>
      <c r="E102" s="62"/>
      <c r="F102" s="62"/>
      <c r="G102" s="70"/>
      <c r="H102" s="62"/>
      <c r="I102" s="62"/>
      <c r="J102" s="62"/>
      <c r="K102" s="62"/>
      <c r="L102" s="62"/>
      <c r="M102" s="62"/>
      <c r="N102" s="62"/>
    </row>
    <row r="103" spans="1:14" x14ac:dyDescent="0.25">
      <c r="A103" s="70"/>
      <c r="B103" s="62"/>
      <c r="C103" s="62"/>
      <c r="D103" s="62"/>
      <c r="E103" s="62"/>
      <c r="F103" s="62"/>
      <c r="G103" s="70"/>
      <c r="H103" s="62"/>
      <c r="I103" s="62"/>
      <c r="J103" s="62"/>
      <c r="K103" s="62"/>
      <c r="L103" s="62"/>
      <c r="M103" s="62"/>
      <c r="N103" s="62"/>
    </row>
    <row r="104" spans="1:14" x14ac:dyDescent="0.25">
      <c r="A104" s="70"/>
      <c r="B104" s="62"/>
      <c r="C104" s="62"/>
      <c r="D104" s="62"/>
      <c r="E104" s="62"/>
      <c r="F104" s="62"/>
      <c r="G104" s="70"/>
      <c r="H104" s="62"/>
      <c r="I104" s="62"/>
      <c r="J104" s="62"/>
      <c r="K104" s="62"/>
      <c r="L104" s="62"/>
      <c r="M104" s="62"/>
      <c r="N104" s="62"/>
    </row>
    <row r="105" spans="1:14" x14ac:dyDescent="0.25">
      <c r="A105" s="70"/>
      <c r="B105" s="62"/>
      <c r="C105" s="62"/>
      <c r="D105" s="62"/>
      <c r="E105" s="62"/>
      <c r="F105" s="62"/>
      <c r="G105" s="70"/>
      <c r="H105" s="62"/>
      <c r="I105" s="62"/>
      <c r="J105" s="62"/>
      <c r="K105" s="62"/>
      <c r="L105" s="62"/>
      <c r="M105" s="62"/>
      <c r="N105" s="62"/>
    </row>
    <row r="106" spans="1:14" x14ac:dyDescent="0.25">
      <c r="A106" s="70"/>
      <c r="B106" s="62"/>
      <c r="C106" s="62"/>
      <c r="D106" s="62"/>
      <c r="E106" s="62"/>
      <c r="F106" s="62"/>
      <c r="G106" s="70"/>
      <c r="H106" s="62"/>
      <c r="I106" s="62"/>
      <c r="J106" s="62"/>
      <c r="K106" s="62"/>
      <c r="L106" s="62"/>
      <c r="M106" s="62"/>
      <c r="N106" s="62"/>
    </row>
    <row r="107" spans="1:14" x14ac:dyDescent="0.25">
      <c r="A107" s="70"/>
      <c r="B107" s="62"/>
      <c r="C107" s="62"/>
      <c r="D107" s="62"/>
      <c r="E107" s="62"/>
      <c r="F107" s="62"/>
      <c r="G107" s="70"/>
      <c r="H107" s="62"/>
      <c r="I107" s="62"/>
      <c r="J107" s="62"/>
      <c r="K107" s="62"/>
      <c r="L107" s="62"/>
      <c r="M107" s="62"/>
      <c r="N107" s="62"/>
    </row>
    <row r="108" spans="1:14" x14ac:dyDescent="0.25">
      <c r="A108" s="70"/>
      <c r="B108" s="62"/>
      <c r="C108" s="62"/>
      <c r="D108" s="62"/>
      <c r="E108" s="62"/>
      <c r="F108" s="62"/>
      <c r="G108" s="70"/>
      <c r="H108" s="62"/>
      <c r="I108" s="62"/>
      <c r="J108" s="62"/>
      <c r="K108" s="62"/>
      <c r="L108" s="62"/>
      <c r="M108" s="62"/>
      <c r="N108" s="62"/>
    </row>
    <row r="109" spans="1:14" x14ac:dyDescent="0.25">
      <c r="A109" s="70"/>
      <c r="B109" s="62"/>
      <c r="C109" s="62"/>
      <c r="D109" s="62"/>
      <c r="E109" s="62"/>
      <c r="F109" s="62"/>
      <c r="G109" s="70"/>
      <c r="H109" s="62"/>
      <c r="I109" s="62"/>
      <c r="J109" s="62"/>
      <c r="K109" s="62"/>
      <c r="L109" s="62"/>
      <c r="M109" s="62"/>
      <c r="N109" s="62"/>
    </row>
    <row r="110" spans="1:14" x14ac:dyDescent="0.25">
      <c r="A110" s="70"/>
      <c r="B110" s="62"/>
      <c r="C110" s="62"/>
      <c r="D110" s="62"/>
      <c r="E110" s="62"/>
      <c r="F110" s="62"/>
      <c r="G110" s="70"/>
      <c r="H110" s="62"/>
      <c r="I110" s="62"/>
      <c r="J110" s="62"/>
      <c r="K110" s="62"/>
      <c r="L110" s="62"/>
      <c r="M110" s="62"/>
      <c r="N110" s="62"/>
    </row>
    <row r="111" spans="1:14" x14ac:dyDescent="0.25">
      <c r="A111" s="70"/>
      <c r="B111" s="62"/>
      <c r="C111" s="62"/>
      <c r="D111" s="62"/>
      <c r="E111" s="62"/>
      <c r="F111" s="62"/>
      <c r="G111" s="70"/>
      <c r="H111" s="62"/>
      <c r="I111" s="62"/>
      <c r="J111" s="62"/>
      <c r="K111" s="62"/>
      <c r="L111" s="62"/>
      <c r="M111" s="62"/>
      <c r="N111" s="62"/>
    </row>
    <row r="112" spans="1:14" x14ac:dyDescent="0.25">
      <c r="A112" s="70"/>
      <c r="B112" s="62"/>
      <c r="C112" s="62"/>
      <c r="D112" s="62"/>
      <c r="E112" s="62"/>
      <c r="F112" s="62"/>
      <c r="G112" s="70"/>
      <c r="H112" s="62"/>
      <c r="I112" s="62"/>
      <c r="J112" s="62"/>
      <c r="K112" s="62"/>
      <c r="L112" s="62"/>
      <c r="M112" s="62"/>
      <c r="N112" s="62"/>
    </row>
    <row r="113" spans="1:14" x14ac:dyDescent="0.25">
      <c r="A113" s="70"/>
      <c r="B113" s="62"/>
      <c r="C113" s="62"/>
      <c r="D113" s="62"/>
      <c r="E113" s="62"/>
      <c r="F113" s="62"/>
      <c r="G113" s="70"/>
      <c r="H113" s="62"/>
      <c r="I113" s="62"/>
      <c r="J113" s="62"/>
      <c r="K113" s="62"/>
      <c r="L113" s="62"/>
      <c r="M113" s="62"/>
      <c r="N113" s="62"/>
    </row>
    <row r="114" spans="1:14" x14ac:dyDescent="0.25">
      <c r="A114" s="70"/>
      <c r="B114" s="62"/>
      <c r="C114" s="62"/>
      <c r="D114" s="62"/>
      <c r="E114" s="62"/>
      <c r="F114" s="62"/>
      <c r="G114" s="70"/>
      <c r="H114" s="62"/>
      <c r="I114" s="62"/>
      <c r="J114" s="62"/>
      <c r="K114" s="62"/>
      <c r="L114" s="62"/>
      <c r="M114" s="62"/>
      <c r="N114" s="62"/>
    </row>
    <row r="115" spans="1:14" x14ac:dyDescent="0.25">
      <c r="A115" s="70"/>
      <c r="B115" s="62"/>
      <c r="C115" s="62"/>
      <c r="D115" s="62"/>
      <c r="E115" s="62"/>
      <c r="F115" s="62"/>
      <c r="G115" s="70"/>
      <c r="H115" s="62"/>
      <c r="I115" s="62"/>
      <c r="J115" s="62"/>
      <c r="K115" s="62"/>
      <c r="L115" s="62"/>
      <c r="M115" s="62"/>
      <c r="N115" s="62"/>
    </row>
    <row r="116" spans="1:14" x14ac:dyDescent="0.25">
      <c r="A116" s="70"/>
      <c r="B116" s="62"/>
      <c r="C116" s="62"/>
      <c r="D116" s="62"/>
      <c r="E116" s="62"/>
      <c r="F116" s="62"/>
      <c r="G116" s="70"/>
      <c r="H116" s="62"/>
      <c r="I116" s="62"/>
      <c r="J116" s="62"/>
      <c r="K116" s="62"/>
      <c r="L116" s="62"/>
      <c r="M116" s="62"/>
      <c r="N116" s="62"/>
    </row>
  </sheetData>
  <mergeCells count="5">
    <mergeCell ref="D37:E37"/>
    <mergeCell ref="A2:K2"/>
    <mergeCell ref="G37:H37"/>
    <mergeCell ref="A37:B37"/>
    <mergeCell ref="A1:K1"/>
  </mergeCells>
  <dataValidations count="7">
    <dataValidation type="list" allowBlank="1" showErrorMessage="1" errorTitle="Invalid Phase" error="Select a phase." sqref="B5:B100" xr:uid="{00000000-0002-0000-0100-000000000000}">
      <formula1>"Build,Application,Security,Operationalisation,Compliance,Documentation"</formula1>
    </dataValidation>
    <dataValidation type="list" allowBlank="1" showErrorMessage="1" errorTitle="Invalid Priority" error="Select a priority." sqref="E5:E100" xr:uid="{00000000-0002-0000-0100-000001000000}">
      <formula1>"P1 - Critical,P2 - High,P3 - Medium,P4 - Low"</formula1>
    </dataValidation>
    <dataValidation type="list" allowBlank="1" showErrorMessage="1" errorTitle="Invalid Status" error="Select a status." sqref="F5:F100" xr:uid="{00000000-0002-0000-0100-000002000000}">
      <formula1>"Not Started,In Progress,Complete,Blocked,At Risk"</formula1>
    </dataValidation>
    <dataValidation type="decimal" allowBlank="1" showInputMessage="1" showErrorMessage="1" errorTitle="Invalid %" error="Enter 0 to 1 (e.g. 0.5 = 50%)" promptTitle="% Done" prompt="Enter 0 to 1" sqref="G5:G100" xr:uid="{00000000-0002-0000-0100-000003000000}">
      <formula1>0</formula1>
      <formula2>1</formula2>
    </dataValidation>
    <dataValidation type="date" operator="greaterThan" allowBlank="1" showInputMessage="1" showErrorMessage="1" errorTitle="Invalid Date" error="Enter a valid date." promptTitle="Start Date" prompt="Format: YYYY-MM-DD" sqref="H5:H100" xr:uid="{00000000-0002-0000-0100-000004000000}">
      <formula1>DATE(2020,1,1)</formula1>
    </dataValidation>
    <dataValidation type="date" operator="greaterThan" allowBlank="1" showInputMessage="1" showErrorMessage="1" errorTitle="Invalid Date" error="Enter a valid date." promptTitle="Due Date" prompt="Format: YYYY-MM-DD" sqref="I5:I100" xr:uid="{00000000-0002-0000-0100-000005000000}">
      <formula1>DATE(2020,1,1)</formula1>
    </dataValidation>
    <dataValidation type="list" allowBlank="1" showErrorMessage="1" errorTitle="Invalid Team" error="Please select from the dropdown list." sqref="M5:M116" xr:uid="{00000000-0002-0000-0100-000006000000}">
      <formula1>"TBD,Project Lead,Cloud Engineer,Security Architect,Compliance Officer,Developer,Tech Writer"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8" customWidth="1"/>
    <col min="2" max="2" width="20" customWidth="1"/>
    <col min="3" max="3" width="40" customWidth="1"/>
    <col min="4" max="6" width="12" customWidth="1"/>
    <col min="7" max="7" width="40" customWidth="1"/>
    <col min="8" max="8" width="14" customWidth="1"/>
    <col min="9" max="9" width="12" customWidth="1"/>
    <col min="10" max="10" width="25" customWidth="1"/>
  </cols>
  <sheetData>
    <row r="1" spans="1:10" ht="35.1" customHeight="1" x14ac:dyDescent="0.25">
      <c r="A1" s="82" t="s">
        <v>225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8.1" customHeight="1" x14ac:dyDescent="0.25"/>
    <row r="3" spans="1:10" ht="21.95" customHeight="1" x14ac:dyDescent="0.25">
      <c r="A3" s="1" t="s">
        <v>226</v>
      </c>
      <c r="B3" s="1" t="s">
        <v>3</v>
      </c>
      <c r="C3" s="1" t="s">
        <v>227</v>
      </c>
      <c r="D3" s="1" t="s">
        <v>228</v>
      </c>
      <c r="E3" s="1" t="s">
        <v>229</v>
      </c>
      <c r="F3" s="1" t="s">
        <v>230</v>
      </c>
      <c r="G3" s="1" t="s">
        <v>231</v>
      </c>
      <c r="H3" s="1" t="s">
        <v>212</v>
      </c>
      <c r="I3" s="1" t="s">
        <v>7</v>
      </c>
      <c r="J3" s="1" t="s">
        <v>15</v>
      </c>
    </row>
    <row r="4" spans="1:10" ht="20.100000000000001" customHeight="1" x14ac:dyDescent="0.25">
      <c r="A4" s="3" t="s">
        <v>232</v>
      </c>
      <c r="B4" s="41" t="s">
        <v>16</v>
      </c>
      <c r="C4" s="41" t="s">
        <v>233</v>
      </c>
      <c r="D4" s="3" t="s">
        <v>234</v>
      </c>
      <c r="E4" s="3" t="s">
        <v>235</v>
      </c>
      <c r="F4" s="3" t="e">
        <f t="shared" ref="F4:F9" si="0">D4*E4</f>
        <v>#VALUE!</v>
      </c>
      <c r="G4" s="41" t="s">
        <v>236</v>
      </c>
      <c r="H4" s="3" t="s">
        <v>218</v>
      </c>
      <c r="I4" s="3" t="s">
        <v>237</v>
      </c>
      <c r="J4" s="41"/>
    </row>
    <row r="5" spans="1:10" ht="20.100000000000001" customHeight="1" x14ac:dyDescent="0.25">
      <c r="A5" s="7" t="s">
        <v>238</v>
      </c>
      <c r="B5" s="42" t="s">
        <v>108</v>
      </c>
      <c r="C5" s="42" t="s">
        <v>239</v>
      </c>
      <c r="D5" s="7" t="s">
        <v>240</v>
      </c>
      <c r="E5" s="7" t="s">
        <v>235</v>
      </c>
      <c r="F5" s="7" t="e">
        <f t="shared" si="0"/>
        <v>#VALUE!</v>
      </c>
      <c r="G5" s="42" t="s">
        <v>241</v>
      </c>
      <c r="H5" s="7" t="s">
        <v>218</v>
      </c>
      <c r="I5" s="7" t="s">
        <v>237</v>
      </c>
      <c r="J5" s="42"/>
    </row>
    <row r="6" spans="1:10" ht="20.100000000000001" customHeight="1" x14ac:dyDescent="0.25">
      <c r="A6" s="3" t="s">
        <v>242</v>
      </c>
      <c r="B6" s="41" t="s">
        <v>166</v>
      </c>
      <c r="C6" s="41" t="s">
        <v>243</v>
      </c>
      <c r="D6" s="3" t="s">
        <v>234</v>
      </c>
      <c r="E6" s="3" t="s">
        <v>235</v>
      </c>
      <c r="F6" s="3" t="e">
        <f t="shared" si="0"/>
        <v>#VALUE!</v>
      </c>
      <c r="G6" s="41" t="s">
        <v>244</v>
      </c>
      <c r="H6" s="3" t="s">
        <v>218</v>
      </c>
      <c r="I6" s="3" t="s">
        <v>237</v>
      </c>
      <c r="J6" s="41"/>
    </row>
    <row r="7" spans="1:10" ht="20.100000000000001" customHeight="1" x14ac:dyDescent="0.25">
      <c r="A7" s="7" t="s">
        <v>245</v>
      </c>
      <c r="B7" s="42" t="s">
        <v>74</v>
      </c>
      <c r="C7" s="42" t="s">
        <v>246</v>
      </c>
      <c r="D7" s="7" t="s">
        <v>234</v>
      </c>
      <c r="E7" s="7" t="s">
        <v>235</v>
      </c>
      <c r="F7" s="7" t="e">
        <f t="shared" si="0"/>
        <v>#VALUE!</v>
      </c>
      <c r="G7" s="42" t="s">
        <v>247</v>
      </c>
      <c r="H7" s="7" t="s">
        <v>218</v>
      </c>
      <c r="I7" s="7" t="s">
        <v>237</v>
      </c>
      <c r="J7" s="42"/>
    </row>
    <row r="8" spans="1:10" ht="20.100000000000001" customHeight="1" x14ac:dyDescent="0.25">
      <c r="A8" s="3" t="s">
        <v>248</v>
      </c>
      <c r="B8" s="41" t="s">
        <v>142</v>
      </c>
      <c r="C8" s="41" t="s">
        <v>249</v>
      </c>
      <c r="D8" s="3" t="s">
        <v>235</v>
      </c>
      <c r="E8" s="3" t="s">
        <v>235</v>
      </c>
      <c r="F8" s="3" t="e">
        <f t="shared" si="0"/>
        <v>#VALUE!</v>
      </c>
      <c r="G8" s="41" t="s">
        <v>250</v>
      </c>
      <c r="H8" s="3" t="s">
        <v>218</v>
      </c>
      <c r="I8" s="3" t="s">
        <v>237</v>
      </c>
      <c r="J8" s="41"/>
    </row>
    <row r="9" spans="1:10" ht="20.100000000000001" customHeight="1" x14ac:dyDescent="0.25">
      <c r="A9" s="7" t="s">
        <v>251</v>
      </c>
      <c r="B9" s="42" t="s">
        <v>186</v>
      </c>
      <c r="C9" s="42" t="s">
        <v>252</v>
      </c>
      <c r="D9" s="7" t="s">
        <v>234</v>
      </c>
      <c r="E9" s="7" t="s">
        <v>234</v>
      </c>
      <c r="F9" s="7" t="e">
        <f t="shared" si="0"/>
        <v>#VALUE!</v>
      </c>
      <c r="G9" s="42" t="s">
        <v>253</v>
      </c>
      <c r="H9" s="7" t="s">
        <v>218</v>
      </c>
      <c r="I9" s="7" t="s">
        <v>237</v>
      </c>
      <c r="J9" s="42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42" customWidth="1"/>
    <col min="4" max="4" width="20" customWidth="1"/>
    <col min="5" max="5" width="14" customWidth="1"/>
    <col min="6" max="6" width="18" customWidth="1"/>
    <col min="7" max="7" width="22" customWidth="1"/>
    <col min="8" max="8" width="14" customWidth="1"/>
    <col min="9" max="9" width="25" customWidth="1"/>
  </cols>
  <sheetData>
    <row r="1" spans="1:9" ht="35.1" customHeight="1" x14ac:dyDescent="0.25">
      <c r="A1" s="82" t="s">
        <v>254</v>
      </c>
      <c r="B1" s="74"/>
      <c r="C1" s="74"/>
      <c r="D1" s="74"/>
      <c r="E1" s="74"/>
      <c r="F1" s="74"/>
      <c r="G1" s="74"/>
      <c r="H1" s="74"/>
      <c r="I1" s="74"/>
    </row>
    <row r="2" spans="1:9" ht="8.1" customHeight="1" x14ac:dyDescent="0.25"/>
    <row r="3" spans="1:9" ht="21.95" customHeight="1" x14ac:dyDescent="0.25">
      <c r="A3" s="1" t="s">
        <v>255</v>
      </c>
      <c r="B3" s="1" t="s">
        <v>256</v>
      </c>
      <c r="C3" s="1" t="s">
        <v>257</v>
      </c>
      <c r="D3" s="1" t="s">
        <v>3</v>
      </c>
      <c r="E3" s="1" t="s">
        <v>212</v>
      </c>
      <c r="F3" s="1" t="s">
        <v>258</v>
      </c>
      <c r="G3" s="1" t="s">
        <v>259</v>
      </c>
      <c r="H3" s="1" t="s">
        <v>260</v>
      </c>
      <c r="I3" s="1" t="s">
        <v>15</v>
      </c>
    </row>
    <row r="4" spans="1:9" ht="20.100000000000001" customHeight="1" x14ac:dyDescent="0.25">
      <c r="A4" s="3" t="s">
        <v>261</v>
      </c>
      <c r="B4" s="41" t="s">
        <v>262</v>
      </c>
      <c r="C4" s="41" t="s">
        <v>263</v>
      </c>
      <c r="D4" s="3" t="s">
        <v>108</v>
      </c>
      <c r="E4" s="3" t="s">
        <v>218</v>
      </c>
      <c r="F4" s="5" t="s">
        <v>20</v>
      </c>
      <c r="G4" s="41" t="s">
        <v>264</v>
      </c>
      <c r="H4" s="3"/>
      <c r="I4" s="41"/>
    </row>
    <row r="5" spans="1:9" ht="20.100000000000001" customHeight="1" x14ac:dyDescent="0.25">
      <c r="A5" s="7" t="s">
        <v>265</v>
      </c>
      <c r="B5" s="42" t="s">
        <v>262</v>
      </c>
      <c r="C5" s="42" t="s">
        <v>266</v>
      </c>
      <c r="D5" s="7" t="s">
        <v>108</v>
      </c>
      <c r="E5" s="7" t="s">
        <v>218</v>
      </c>
      <c r="F5" s="5" t="s">
        <v>20</v>
      </c>
      <c r="G5" s="42" t="s">
        <v>267</v>
      </c>
      <c r="H5" s="7"/>
      <c r="I5" s="42"/>
    </row>
    <row r="6" spans="1:9" ht="20.100000000000001" customHeight="1" x14ac:dyDescent="0.25">
      <c r="A6" s="3" t="s">
        <v>268</v>
      </c>
      <c r="B6" s="41" t="s">
        <v>269</v>
      </c>
      <c r="C6" s="41" t="s">
        <v>270</v>
      </c>
      <c r="D6" s="3" t="s">
        <v>166</v>
      </c>
      <c r="E6" s="3" t="s">
        <v>218</v>
      </c>
      <c r="F6" s="5" t="s">
        <v>20</v>
      </c>
      <c r="G6" s="41" t="s">
        <v>271</v>
      </c>
      <c r="H6" s="3"/>
      <c r="I6" s="41"/>
    </row>
    <row r="7" spans="1:9" ht="20.100000000000001" customHeight="1" x14ac:dyDescent="0.25">
      <c r="A7" s="7" t="s">
        <v>272</v>
      </c>
      <c r="B7" s="42" t="s">
        <v>269</v>
      </c>
      <c r="C7" s="42" t="s">
        <v>273</v>
      </c>
      <c r="D7" s="7" t="s">
        <v>166</v>
      </c>
      <c r="E7" s="7" t="s">
        <v>218</v>
      </c>
      <c r="F7" s="5" t="s">
        <v>20</v>
      </c>
      <c r="G7" s="42" t="s">
        <v>274</v>
      </c>
      <c r="H7" s="7"/>
      <c r="I7" s="42"/>
    </row>
    <row r="8" spans="1:9" ht="20.100000000000001" customHeight="1" x14ac:dyDescent="0.25">
      <c r="A8" s="3" t="s">
        <v>275</v>
      </c>
      <c r="B8" s="41" t="s">
        <v>276</v>
      </c>
      <c r="C8" s="41" t="s">
        <v>277</v>
      </c>
      <c r="D8" s="3" t="s">
        <v>108</v>
      </c>
      <c r="E8" s="3" t="s">
        <v>218</v>
      </c>
      <c r="F8" s="5" t="s">
        <v>20</v>
      </c>
      <c r="G8" s="41" t="s">
        <v>278</v>
      </c>
      <c r="H8" s="3"/>
      <c r="I8" s="41"/>
    </row>
    <row r="9" spans="1:9" ht="20.100000000000001" customHeight="1" x14ac:dyDescent="0.25">
      <c r="A9" s="7" t="s">
        <v>279</v>
      </c>
      <c r="B9" s="42" t="s">
        <v>276</v>
      </c>
      <c r="C9" s="42" t="s">
        <v>280</v>
      </c>
      <c r="D9" s="7" t="s">
        <v>16</v>
      </c>
      <c r="E9" s="7" t="s">
        <v>218</v>
      </c>
      <c r="F9" s="5" t="s">
        <v>20</v>
      </c>
      <c r="G9" s="42" t="s">
        <v>281</v>
      </c>
      <c r="H9" s="7"/>
      <c r="I9" s="42"/>
    </row>
    <row r="10" spans="1:9" ht="20.100000000000001" customHeight="1" x14ac:dyDescent="0.25">
      <c r="A10" s="3" t="s">
        <v>282</v>
      </c>
      <c r="B10" s="41" t="s">
        <v>283</v>
      </c>
      <c r="C10" s="41" t="s">
        <v>284</v>
      </c>
      <c r="D10" s="3" t="s">
        <v>142</v>
      </c>
      <c r="E10" s="3" t="s">
        <v>218</v>
      </c>
      <c r="F10" s="5" t="s">
        <v>20</v>
      </c>
      <c r="G10" s="41" t="s">
        <v>285</v>
      </c>
      <c r="H10" s="3"/>
      <c r="I10" s="41"/>
    </row>
    <row r="11" spans="1:9" ht="20.100000000000001" customHeight="1" x14ac:dyDescent="0.25">
      <c r="A11" s="7" t="s">
        <v>286</v>
      </c>
      <c r="B11" s="42" t="s">
        <v>283</v>
      </c>
      <c r="C11" s="42" t="s">
        <v>287</v>
      </c>
      <c r="D11" s="7" t="s">
        <v>142</v>
      </c>
      <c r="E11" s="7" t="s">
        <v>218</v>
      </c>
      <c r="F11" s="5" t="s">
        <v>20</v>
      </c>
      <c r="G11" s="42" t="s">
        <v>288</v>
      </c>
      <c r="H11" s="7"/>
      <c r="I11" s="42"/>
    </row>
    <row r="12" spans="1:9" ht="20.100000000000001" customHeight="1" x14ac:dyDescent="0.25">
      <c r="A12" s="3" t="s">
        <v>289</v>
      </c>
      <c r="B12" s="41" t="s">
        <v>290</v>
      </c>
      <c r="C12" s="41" t="s">
        <v>291</v>
      </c>
      <c r="D12" s="3" t="s">
        <v>74</v>
      </c>
      <c r="E12" s="3" t="s">
        <v>218</v>
      </c>
      <c r="F12" s="5" t="s">
        <v>20</v>
      </c>
      <c r="G12" s="41" t="s">
        <v>292</v>
      </c>
      <c r="H12" s="3"/>
      <c r="I12" s="41"/>
    </row>
    <row r="13" spans="1:9" ht="20.100000000000001" customHeight="1" x14ac:dyDescent="0.25">
      <c r="A13" s="7" t="s">
        <v>293</v>
      </c>
      <c r="B13" s="42" t="s">
        <v>166</v>
      </c>
      <c r="C13" s="42" t="s">
        <v>294</v>
      </c>
      <c r="D13" s="7" t="s">
        <v>166</v>
      </c>
      <c r="E13" s="7" t="s">
        <v>218</v>
      </c>
      <c r="F13" s="5" t="s">
        <v>20</v>
      </c>
      <c r="G13" s="42" t="s">
        <v>295</v>
      </c>
      <c r="H13" s="7"/>
      <c r="I13" s="42"/>
    </row>
    <row r="14" spans="1:9" ht="20.100000000000001" customHeight="1" x14ac:dyDescent="0.25">
      <c r="A14" s="3" t="s">
        <v>296</v>
      </c>
      <c r="B14" s="41" t="s">
        <v>297</v>
      </c>
      <c r="C14" s="41" t="s">
        <v>298</v>
      </c>
      <c r="D14" s="3" t="s">
        <v>108</v>
      </c>
      <c r="E14" s="3" t="s">
        <v>218</v>
      </c>
      <c r="F14" s="5" t="s">
        <v>20</v>
      </c>
      <c r="G14" s="41" t="s">
        <v>299</v>
      </c>
      <c r="H14" s="3"/>
      <c r="I14" s="41"/>
    </row>
    <row r="15" spans="1:9" ht="20.100000000000001" customHeight="1" x14ac:dyDescent="0.25">
      <c r="A15" s="7" t="s">
        <v>300</v>
      </c>
      <c r="B15" s="42" t="s">
        <v>301</v>
      </c>
      <c r="C15" s="42" t="s">
        <v>302</v>
      </c>
      <c r="D15" s="7" t="s">
        <v>74</v>
      </c>
      <c r="E15" s="7" t="s">
        <v>218</v>
      </c>
      <c r="F15" s="5" t="s">
        <v>20</v>
      </c>
      <c r="G15" s="42" t="s">
        <v>303</v>
      </c>
      <c r="H15" s="7"/>
      <c r="I15" s="42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18" customWidth="1"/>
    <col min="4" max="4" width="28" customWidth="1"/>
    <col min="5" max="5" width="24" customWidth="1"/>
    <col min="6" max="6" width="14" customWidth="1"/>
    <col min="7" max="7" width="22" customWidth="1"/>
    <col min="8" max="8" width="25" customWidth="1"/>
  </cols>
  <sheetData>
    <row r="1" spans="1:8" ht="35.1" customHeight="1" x14ac:dyDescent="0.25">
      <c r="A1" s="82" t="s">
        <v>304</v>
      </c>
      <c r="B1" s="74"/>
      <c r="C1" s="74"/>
      <c r="D1" s="74"/>
      <c r="E1" s="74"/>
      <c r="F1" s="74"/>
      <c r="G1" s="74"/>
      <c r="H1" s="74"/>
    </row>
    <row r="2" spans="1:8" ht="8.1" customHeight="1" x14ac:dyDescent="0.25"/>
    <row r="3" spans="1:8" ht="21.95" customHeight="1" x14ac:dyDescent="0.25">
      <c r="A3" s="1" t="s">
        <v>305</v>
      </c>
      <c r="B3" s="1" t="s">
        <v>306</v>
      </c>
      <c r="C3" s="1" t="s">
        <v>14</v>
      </c>
      <c r="D3" s="1" t="s">
        <v>307</v>
      </c>
      <c r="E3" s="1" t="s">
        <v>308</v>
      </c>
      <c r="F3" s="1" t="s">
        <v>309</v>
      </c>
      <c r="G3" s="1" t="s">
        <v>310</v>
      </c>
      <c r="H3" s="1" t="s">
        <v>15</v>
      </c>
    </row>
    <row r="4" spans="1:8" ht="20.100000000000001" customHeight="1" x14ac:dyDescent="0.25">
      <c r="A4" s="41" t="s">
        <v>218</v>
      </c>
      <c r="B4" s="41" t="s">
        <v>164</v>
      </c>
      <c r="C4" s="41" t="s">
        <v>311</v>
      </c>
      <c r="D4" s="41" t="s">
        <v>312</v>
      </c>
      <c r="E4" s="41" t="s">
        <v>313</v>
      </c>
      <c r="F4" s="41" t="s">
        <v>314</v>
      </c>
      <c r="G4" s="41"/>
      <c r="H4" s="41"/>
    </row>
    <row r="5" spans="1:8" ht="20.100000000000001" customHeight="1" x14ac:dyDescent="0.25">
      <c r="A5" s="42" t="s">
        <v>218</v>
      </c>
      <c r="B5" s="42" t="s">
        <v>18</v>
      </c>
      <c r="C5" s="42" t="s">
        <v>315</v>
      </c>
      <c r="D5" s="42" t="s">
        <v>316</v>
      </c>
      <c r="E5" s="42" t="s">
        <v>317</v>
      </c>
      <c r="F5" s="42" t="s">
        <v>314</v>
      </c>
      <c r="G5" s="42"/>
      <c r="H5" s="42"/>
    </row>
    <row r="6" spans="1:8" ht="20.100000000000001" customHeight="1" x14ac:dyDescent="0.25">
      <c r="A6" s="41" t="s">
        <v>218</v>
      </c>
      <c r="B6" s="41" t="s">
        <v>43</v>
      </c>
      <c r="C6" s="41" t="s">
        <v>108</v>
      </c>
      <c r="D6" s="41" t="s">
        <v>318</v>
      </c>
      <c r="E6" s="41" t="s">
        <v>319</v>
      </c>
      <c r="F6" s="41" t="s">
        <v>320</v>
      </c>
      <c r="G6" s="41"/>
      <c r="H6" s="41"/>
    </row>
    <row r="7" spans="1:8" ht="20.100000000000001" customHeight="1" x14ac:dyDescent="0.25">
      <c r="A7" s="42" t="s">
        <v>218</v>
      </c>
      <c r="B7" s="42" t="s">
        <v>112</v>
      </c>
      <c r="C7" s="42" t="s">
        <v>321</v>
      </c>
      <c r="D7" s="42" t="s">
        <v>166</v>
      </c>
      <c r="E7" s="42" t="s">
        <v>322</v>
      </c>
      <c r="F7" s="42" t="s">
        <v>320</v>
      </c>
      <c r="G7" s="42"/>
      <c r="H7" s="42"/>
    </row>
    <row r="8" spans="1:8" ht="20.100000000000001" customHeight="1" x14ac:dyDescent="0.25">
      <c r="A8" s="41" t="s">
        <v>218</v>
      </c>
      <c r="B8" s="41" t="s">
        <v>65</v>
      </c>
      <c r="C8" s="41" t="s">
        <v>74</v>
      </c>
      <c r="D8" s="41" t="s">
        <v>74</v>
      </c>
      <c r="E8" s="41" t="s">
        <v>323</v>
      </c>
      <c r="F8" s="41" t="s">
        <v>314</v>
      </c>
      <c r="G8" s="41"/>
      <c r="H8" s="41"/>
    </row>
    <row r="9" spans="1:8" ht="20.100000000000001" customHeight="1" x14ac:dyDescent="0.25">
      <c r="A9" s="42" t="s">
        <v>218</v>
      </c>
      <c r="B9" s="42" t="s">
        <v>324</v>
      </c>
      <c r="C9" s="42" t="s">
        <v>186</v>
      </c>
      <c r="D9" s="42" t="s">
        <v>186</v>
      </c>
      <c r="E9" s="42" t="s">
        <v>322</v>
      </c>
      <c r="F9" s="42" t="s">
        <v>320</v>
      </c>
      <c r="G9" s="42"/>
      <c r="H9" s="42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" customWidth="1"/>
    <col min="2" max="3" width="16" customWidth="1"/>
    <col min="4" max="5" width="18" customWidth="1"/>
    <col min="6" max="6" width="12" customWidth="1"/>
    <col min="7" max="7" width="14" customWidth="1"/>
  </cols>
  <sheetData>
    <row r="1" spans="1:11" ht="35.1" customHeight="1" x14ac:dyDescent="0.25">
      <c r="A1" s="82" t="s">
        <v>325</v>
      </c>
      <c r="B1" s="74"/>
      <c r="C1" s="74"/>
      <c r="D1" s="74"/>
      <c r="E1" s="74"/>
      <c r="F1" s="74"/>
      <c r="G1" s="74"/>
      <c r="H1" s="74"/>
    </row>
    <row r="2" spans="1:11" ht="8.1" customHeight="1" x14ac:dyDescent="0.25">
      <c r="J2" s="80" t="s">
        <v>326</v>
      </c>
      <c r="K2" s="74"/>
    </row>
    <row r="3" spans="1:11" ht="30" customHeight="1" x14ac:dyDescent="0.25">
      <c r="A3" s="1" t="s">
        <v>327</v>
      </c>
      <c r="B3" s="48" t="s">
        <v>164</v>
      </c>
      <c r="C3" s="48" t="s">
        <v>18</v>
      </c>
      <c r="D3" s="48" t="s">
        <v>43</v>
      </c>
      <c r="E3" s="48" t="s">
        <v>112</v>
      </c>
      <c r="F3" s="48" t="s">
        <v>65</v>
      </c>
      <c r="G3" s="48" t="s">
        <v>188</v>
      </c>
      <c r="J3" s="14"/>
      <c r="K3" s="15" t="s">
        <v>328</v>
      </c>
    </row>
    <row r="4" spans="1:11" ht="21.95" customHeight="1" x14ac:dyDescent="0.25">
      <c r="A4" s="41" t="s">
        <v>329</v>
      </c>
      <c r="B4" s="49" t="s">
        <v>330</v>
      </c>
      <c r="C4" s="50" t="s">
        <v>331</v>
      </c>
      <c r="D4" s="51" t="s">
        <v>332</v>
      </c>
      <c r="E4" s="52" t="s">
        <v>333</v>
      </c>
      <c r="F4" s="50" t="s">
        <v>331</v>
      </c>
      <c r="G4" s="52" t="s">
        <v>333</v>
      </c>
      <c r="J4" s="53"/>
      <c r="K4" s="54" t="s">
        <v>334</v>
      </c>
    </row>
    <row r="5" spans="1:11" ht="21.95" customHeight="1" x14ac:dyDescent="0.25">
      <c r="A5" s="42" t="s">
        <v>335</v>
      </c>
      <c r="B5" s="49" t="s">
        <v>330</v>
      </c>
      <c r="C5" s="50" t="s">
        <v>331</v>
      </c>
      <c r="D5" s="51" t="s">
        <v>332</v>
      </c>
      <c r="E5" s="52" t="s">
        <v>333</v>
      </c>
      <c r="F5" s="51" t="s">
        <v>332</v>
      </c>
      <c r="G5" s="52" t="s">
        <v>333</v>
      </c>
      <c r="J5" s="32"/>
      <c r="K5" s="33" t="s">
        <v>336</v>
      </c>
    </row>
    <row r="6" spans="1:11" ht="21.95" customHeight="1" x14ac:dyDescent="0.25">
      <c r="A6" s="41" t="s">
        <v>337</v>
      </c>
      <c r="B6" s="49" t="s">
        <v>330</v>
      </c>
      <c r="C6" s="50" t="s">
        <v>331</v>
      </c>
      <c r="D6" s="52" t="s">
        <v>333</v>
      </c>
      <c r="E6" s="52" t="s">
        <v>333</v>
      </c>
      <c r="F6" s="50" t="s">
        <v>331</v>
      </c>
      <c r="G6" s="52" t="s">
        <v>333</v>
      </c>
      <c r="J6" s="38"/>
      <c r="K6" s="39" t="s">
        <v>338</v>
      </c>
    </row>
    <row r="7" spans="1:11" ht="21.95" customHeight="1" x14ac:dyDescent="0.25">
      <c r="A7" s="42" t="s">
        <v>339</v>
      </c>
      <c r="B7" s="49" t="s">
        <v>330</v>
      </c>
      <c r="C7" s="51" t="s">
        <v>332</v>
      </c>
      <c r="D7" s="52" t="s">
        <v>333</v>
      </c>
      <c r="E7" s="52" t="s">
        <v>333</v>
      </c>
      <c r="F7" s="50" t="s">
        <v>331</v>
      </c>
      <c r="G7" s="52" t="s">
        <v>333</v>
      </c>
    </row>
    <row r="8" spans="1:11" ht="21.95" customHeight="1" x14ac:dyDescent="0.25">
      <c r="A8" s="41" t="s">
        <v>340</v>
      </c>
      <c r="B8" s="51" t="s">
        <v>332</v>
      </c>
      <c r="C8" s="51" t="s">
        <v>332</v>
      </c>
      <c r="D8" s="50" t="s">
        <v>331</v>
      </c>
      <c r="E8" s="52" t="s">
        <v>333</v>
      </c>
      <c r="F8" s="52" t="s">
        <v>333</v>
      </c>
      <c r="G8" s="52" t="s">
        <v>333</v>
      </c>
    </row>
    <row r="9" spans="1:11" ht="21.95" customHeight="1" x14ac:dyDescent="0.25">
      <c r="A9" s="42" t="s">
        <v>341</v>
      </c>
      <c r="B9" s="49" t="s">
        <v>330</v>
      </c>
      <c r="C9" s="51" t="s">
        <v>332</v>
      </c>
      <c r="D9" s="50" t="s">
        <v>331</v>
      </c>
      <c r="E9" s="51" t="s">
        <v>332</v>
      </c>
      <c r="F9" s="52" t="s">
        <v>333</v>
      </c>
      <c r="G9" s="52" t="s">
        <v>333</v>
      </c>
    </row>
    <row r="10" spans="1:11" ht="21.95" customHeight="1" x14ac:dyDescent="0.25">
      <c r="A10" s="41" t="s">
        <v>342</v>
      </c>
      <c r="B10" s="49" t="s">
        <v>330</v>
      </c>
      <c r="C10" s="50" t="s">
        <v>331</v>
      </c>
      <c r="D10" s="51" t="s">
        <v>332</v>
      </c>
      <c r="E10" s="51" t="s">
        <v>332</v>
      </c>
      <c r="F10" s="51" t="s">
        <v>332</v>
      </c>
      <c r="G10" s="50" t="s">
        <v>331</v>
      </c>
    </row>
    <row r="11" spans="1:11" ht="21.95" customHeight="1" x14ac:dyDescent="0.25">
      <c r="A11" s="42" t="s">
        <v>343</v>
      </c>
      <c r="B11" s="49" t="s">
        <v>330</v>
      </c>
      <c r="C11" s="50" t="s">
        <v>331</v>
      </c>
      <c r="D11" s="51" t="s">
        <v>332</v>
      </c>
      <c r="E11" s="52" t="s">
        <v>333</v>
      </c>
      <c r="F11" s="50" t="s">
        <v>331</v>
      </c>
      <c r="G11" s="52" t="s">
        <v>333</v>
      </c>
    </row>
    <row r="12" spans="1:11" ht="21.95" customHeight="1" x14ac:dyDescent="0.25">
      <c r="A12" s="41" t="s">
        <v>344</v>
      </c>
      <c r="B12" s="51" t="s">
        <v>332</v>
      </c>
      <c r="C12" s="52" t="s">
        <v>333</v>
      </c>
      <c r="D12" s="51" t="s">
        <v>332</v>
      </c>
      <c r="E12" s="50" t="s">
        <v>331</v>
      </c>
      <c r="F12" s="52" t="s">
        <v>333</v>
      </c>
      <c r="G12" s="52" t="s">
        <v>333</v>
      </c>
    </row>
    <row r="13" spans="1:11" ht="21.95" customHeight="1" x14ac:dyDescent="0.25">
      <c r="A13" s="42" t="s">
        <v>345</v>
      </c>
      <c r="B13" s="49" t="s">
        <v>330</v>
      </c>
      <c r="C13" s="51" t="s">
        <v>332</v>
      </c>
      <c r="D13" s="51" t="s">
        <v>332</v>
      </c>
      <c r="E13" s="50" t="s">
        <v>331</v>
      </c>
      <c r="F13" s="52" t="s">
        <v>333</v>
      </c>
      <c r="G13" s="52" t="s">
        <v>333</v>
      </c>
    </row>
    <row r="14" spans="1:11" ht="21.95" customHeight="1" x14ac:dyDescent="0.25">
      <c r="A14" s="41" t="s">
        <v>346</v>
      </c>
      <c r="B14" s="49" t="s">
        <v>330</v>
      </c>
      <c r="C14" s="50" t="s">
        <v>331</v>
      </c>
      <c r="D14" s="51" t="s">
        <v>332</v>
      </c>
      <c r="E14" s="52" t="s">
        <v>333</v>
      </c>
      <c r="F14" s="50" t="s">
        <v>331</v>
      </c>
      <c r="G14" s="50" t="s">
        <v>331</v>
      </c>
    </row>
    <row r="15" spans="1:11" ht="21.95" customHeight="1" x14ac:dyDescent="0.25">
      <c r="A15" s="42" t="s">
        <v>347</v>
      </c>
      <c r="B15" s="49" t="s">
        <v>330</v>
      </c>
      <c r="C15" s="50" t="s">
        <v>331</v>
      </c>
      <c r="D15" s="51" t="s">
        <v>332</v>
      </c>
      <c r="E15" s="51" t="s">
        <v>332</v>
      </c>
      <c r="F15" s="51" t="s">
        <v>332</v>
      </c>
      <c r="G15" s="50" t="s">
        <v>331</v>
      </c>
    </row>
  </sheetData>
  <mergeCells count="2">
    <mergeCell ref="J2:K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30" customWidth="1"/>
    <col min="3" max="3" width="16" customWidth="1"/>
    <col min="4" max="4" width="38" customWidth="1"/>
    <col min="5" max="5" width="20" customWidth="1"/>
    <col min="6" max="6" width="18" customWidth="1"/>
    <col min="7" max="7" width="22" customWidth="1"/>
    <col min="8" max="8" width="25" customWidth="1"/>
  </cols>
  <sheetData>
    <row r="1" spans="1:8" ht="35.1" customHeight="1" x14ac:dyDescent="0.25">
      <c r="A1" s="82" t="s">
        <v>348</v>
      </c>
      <c r="B1" s="74"/>
      <c r="C1" s="74"/>
      <c r="D1" s="74"/>
      <c r="E1" s="74"/>
      <c r="F1" s="74"/>
      <c r="G1" s="74"/>
      <c r="H1" s="74"/>
    </row>
    <row r="2" spans="1:8" ht="8.1" customHeight="1" x14ac:dyDescent="0.25"/>
    <row r="3" spans="1:8" ht="21.95" customHeight="1" x14ac:dyDescent="0.25">
      <c r="A3" s="1" t="s">
        <v>349</v>
      </c>
      <c r="B3" s="1" t="s">
        <v>350</v>
      </c>
      <c r="C3" s="1" t="s">
        <v>351</v>
      </c>
      <c r="D3" s="1" t="s">
        <v>352</v>
      </c>
      <c r="E3" s="1" t="s">
        <v>3</v>
      </c>
      <c r="F3" s="1" t="s">
        <v>353</v>
      </c>
      <c r="G3" s="1" t="s">
        <v>354</v>
      </c>
      <c r="H3" s="1" t="s">
        <v>15</v>
      </c>
    </row>
    <row r="4" spans="1:8" ht="20.100000000000001" customHeight="1" x14ac:dyDescent="0.25">
      <c r="A4" s="59" t="s">
        <v>355</v>
      </c>
      <c r="B4" s="59" t="s">
        <v>356</v>
      </c>
      <c r="C4" s="59" t="s">
        <v>357</v>
      </c>
      <c r="D4" s="59" t="s">
        <v>358</v>
      </c>
      <c r="E4" s="40" t="s">
        <v>16</v>
      </c>
      <c r="F4" s="59" t="s">
        <v>359</v>
      </c>
      <c r="G4" s="59" t="s">
        <v>360</v>
      </c>
      <c r="H4" s="59" t="s">
        <v>361</v>
      </c>
    </row>
    <row r="5" spans="1:8" ht="20.100000000000001" customHeight="1" x14ac:dyDescent="0.25">
      <c r="A5" s="60" t="s">
        <v>362</v>
      </c>
      <c r="B5" s="60" t="s">
        <v>363</v>
      </c>
      <c r="C5" s="60" t="s">
        <v>357</v>
      </c>
      <c r="D5" s="60" t="s">
        <v>364</v>
      </c>
      <c r="E5" s="40" t="s">
        <v>16</v>
      </c>
      <c r="F5" s="60" t="s">
        <v>359</v>
      </c>
      <c r="G5" s="60" t="s">
        <v>365</v>
      </c>
      <c r="H5" s="60" t="s">
        <v>366</v>
      </c>
    </row>
    <row r="6" spans="1:8" ht="20.100000000000001" customHeight="1" x14ac:dyDescent="0.25">
      <c r="A6" s="59" t="s">
        <v>367</v>
      </c>
      <c r="B6" s="59" t="s">
        <v>368</v>
      </c>
      <c r="C6" s="59" t="s">
        <v>369</v>
      </c>
      <c r="D6" s="59" t="s">
        <v>370</v>
      </c>
      <c r="E6" s="43" t="s">
        <v>74</v>
      </c>
      <c r="F6" s="59" t="s">
        <v>359</v>
      </c>
      <c r="G6" s="59" t="s">
        <v>371</v>
      </c>
      <c r="H6" s="59" t="s">
        <v>372</v>
      </c>
    </row>
    <row r="7" spans="1:8" ht="20.100000000000001" customHeight="1" x14ac:dyDescent="0.25">
      <c r="A7" s="60" t="s">
        <v>373</v>
      </c>
      <c r="B7" s="60" t="s">
        <v>374</v>
      </c>
      <c r="C7" s="60" t="s">
        <v>375</v>
      </c>
      <c r="D7" s="60" t="s">
        <v>376</v>
      </c>
      <c r="E7" s="40" t="s">
        <v>16</v>
      </c>
      <c r="F7" s="60" t="s">
        <v>359</v>
      </c>
      <c r="G7" s="60" t="s">
        <v>377</v>
      </c>
      <c r="H7" s="60" t="s">
        <v>378</v>
      </c>
    </row>
    <row r="8" spans="1:8" ht="20.100000000000001" customHeight="1" x14ac:dyDescent="0.25">
      <c r="A8" s="59" t="s">
        <v>379</v>
      </c>
      <c r="B8" s="59" t="s">
        <v>380</v>
      </c>
      <c r="C8" s="59" t="s">
        <v>357</v>
      </c>
      <c r="D8" s="59" t="s">
        <v>381</v>
      </c>
      <c r="E8" s="40" t="s">
        <v>16</v>
      </c>
      <c r="F8" s="59" t="s">
        <v>359</v>
      </c>
      <c r="G8" s="59" t="s">
        <v>382</v>
      </c>
      <c r="H8" s="59" t="s">
        <v>383</v>
      </c>
    </row>
    <row r="9" spans="1:8" ht="20.100000000000001" customHeight="1" x14ac:dyDescent="0.25">
      <c r="A9" s="60" t="s">
        <v>384</v>
      </c>
      <c r="B9" s="60" t="s">
        <v>385</v>
      </c>
      <c r="C9" s="60" t="s">
        <v>357</v>
      </c>
      <c r="D9" s="60" t="s">
        <v>386</v>
      </c>
      <c r="E9" s="40" t="s">
        <v>16</v>
      </c>
      <c r="F9" s="60" t="s">
        <v>387</v>
      </c>
      <c r="G9" s="60" t="s">
        <v>388</v>
      </c>
      <c r="H9" s="60" t="s">
        <v>389</v>
      </c>
    </row>
    <row r="10" spans="1:8" ht="20.100000000000001" customHeight="1" x14ac:dyDescent="0.25">
      <c r="A10" s="59" t="s">
        <v>390</v>
      </c>
      <c r="B10" s="59" t="s">
        <v>391</v>
      </c>
      <c r="C10" s="59" t="s">
        <v>357</v>
      </c>
      <c r="D10" s="59" t="s">
        <v>392</v>
      </c>
      <c r="E10" s="40" t="s">
        <v>16</v>
      </c>
      <c r="F10" s="59" t="s">
        <v>359</v>
      </c>
      <c r="G10" s="59" t="s">
        <v>393</v>
      </c>
      <c r="H10" s="59" t="s">
        <v>394</v>
      </c>
    </row>
    <row r="11" spans="1:8" ht="20.100000000000001" customHeight="1" x14ac:dyDescent="0.25">
      <c r="A11" s="60" t="s">
        <v>395</v>
      </c>
      <c r="B11" s="60" t="s">
        <v>396</v>
      </c>
      <c r="C11" s="60" t="s">
        <v>357</v>
      </c>
      <c r="D11" s="60" t="s">
        <v>397</v>
      </c>
      <c r="E11" s="40" t="s">
        <v>16</v>
      </c>
      <c r="F11" s="60" t="s">
        <v>359</v>
      </c>
      <c r="G11" s="60" t="s">
        <v>398</v>
      </c>
      <c r="H11" s="60" t="s">
        <v>399</v>
      </c>
    </row>
    <row r="12" spans="1:8" ht="20.100000000000001" customHeight="1" x14ac:dyDescent="0.25">
      <c r="A12" s="59" t="s">
        <v>400</v>
      </c>
      <c r="B12" s="59" t="s">
        <v>401</v>
      </c>
      <c r="C12" s="59" t="s">
        <v>357</v>
      </c>
      <c r="D12" s="59" t="s">
        <v>402</v>
      </c>
      <c r="E12" s="40" t="s">
        <v>16</v>
      </c>
      <c r="F12" s="59" t="s">
        <v>359</v>
      </c>
      <c r="G12" s="59" t="s">
        <v>403</v>
      </c>
      <c r="H12" s="59" t="s">
        <v>404</v>
      </c>
    </row>
    <row r="13" spans="1:8" ht="20.100000000000001" customHeight="1" x14ac:dyDescent="0.25">
      <c r="A13" s="60" t="s">
        <v>405</v>
      </c>
      <c r="B13" s="60" t="s">
        <v>406</v>
      </c>
      <c r="C13" s="60" t="s">
        <v>357</v>
      </c>
      <c r="D13" s="60" t="s">
        <v>407</v>
      </c>
      <c r="E13" s="40" t="s">
        <v>16</v>
      </c>
      <c r="F13" s="60" t="s">
        <v>359</v>
      </c>
      <c r="G13" s="60" t="s">
        <v>408</v>
      </c>
      <c r="H13" s="60" t="s">
        <v>409</v>
      </c>
    </row>
    <row r="14" spans="1:8" ht="20.100000000000001" customHeight="1" x14ac:dyDescent="0.25">
      <c r="A14" s="59" t="s">
        <v>410</v>
      </c>
      <c r="B14" s="59" t="s">
        <v>411</v>
      </c>
      <c r="C14" s="59" t="s">
        <v>357</v>
      </c>
      <c r="D14" s="59" t="s">
        <v>412</v>
      </c>
      <c r="E14" s="44" t="s">
        <v>108</v>
      </c>
      <c r="F14" s="59" t="s">
        <v>413</v>
      </c>
      <c r="G14" s="59" t="s">
        <v>414</v>
      </c>
      <c r="H14" s="59" t="s">
        <v>415</v>
      </c>
    </row>
    <row r="15" spans="1:8" ht="20.100000000000001" customHeight="1" x14ac:dyDescent="0.25">
      <c r="A15" s="60" t="s">
        <v>416</v>
      </c>
      <c r="B15" s="60" t="s">
        <v>417</v>
      </c>
      <c r="C15" s="60" t="s">
        <v>418</v>
      </c>
      <c r="D15" s="60" t="s">
        <v>419</v>
      </c>
      <c r="E15" s="44" t="s">
        <v>108</v>
      </c>
      <c r="F15" s="60" t="s">
        <v>413</v>
      </c>
      <c r="G15" s="60" t="s">
        <v>420</v>
      </c>
      <c r="H15" s="60" t="s">
        <v>421</v>
      </c>
    </row>
    <row r="16" spans="1:8" ht="20.100000000000001" customHeight="1" x14ac:dyDescent="0.25">
      <c r="A16" s="59" t="s">
        <v>422</v>
      </c>
      <c r="B16" s="59" t="s">
        <v>423</v>
      </c>
      <c r="C16" s="59" t="s">
        <v>357</v>
      </c>
      <c r="D16" s="59" t="s">
        <v>424</v>
      </c>
      <c r="E16" s="44" t="s">
        <v>108</v>
      </c>
      <c r="F16" s="59" t="s">
        <v>425</v>
      </c>
      <c r="G16" s="59" t="s">
        <v>426</v>
      </c>
      <c r="H16" s="59" t="s">
        <v>427</v>
      </c>
    </row>
    <row r="17" spans="1:8" ht="20.100000000000001" customHeight="1" x14ac:dyDescent="0.25">
      <c r="A17" s="60" t="s">
        <v>428</v>
      </c>
      <c r="B17" s="60" t="s">
        <v>429</v>
      </c>
      <c r="C17" s="60" t="s">
        <v>357</v>
      </c>
      <c r="D17" s="60" t="s">
        <v>430</v>
      </c>
      <c r="E17" s="44" t="s">
        <v>108</v>
      </c>
      <c r="F17" s="60" t="s">
        <v>431</v>
      </c>
      <c r="G17" s="60" t="s">
        <v>432</v>
      </c>
      <c r="H17" s="60" t="s">
        <v>433</v>
      </c>
    </row>
    <row r="18" spans="1:8" ht="20.100000000000001" customHeight="1" x14ac:dyDescent="0.25">
      <c r="A18" s="59" t="s">
        <v>434</v>
      </c>
      <c r="B18" s="59" t="s">
        <v>435</v>
      </c>
      <c r="C18" s="59" t="s">
        <v>357</v>
      </c>
      <c r="D18" s="59" t="s">
        <v>436</v>
      </c>
      <c r="E18" s="44" t="s">
        <v>108</v>
      </c>
      <c r="F18" s="59" t="s">
        <v>359</v>
      </c>
      <c r="G18" s="59" t="s">
        <v>437</v>
      </c>
      <c r="H18" s="59" t="s">
        <v>438</v>
      </c>
    </row>
    <row r="19" spans="1:8" ht="20.100000000000001" customHeight="1" x14ac:dyDescent="0.25">
      <c r="A19" s="60" t="s">
        <v>439</v>
      </c>
      <c r="B19" s="60" t="s">
        <v>440</v>
      </c>
      <c r="C19" s="60" t="s">
        <v>357</v>
      </c>
      <c r="D19" s="60" t="s">
        <v>441</v>
      </c>
      <c r="E19" s="45" t="s">
        <v>142</v>
      </c>
      <c r="F19" s="60" t="s">
        <v>359</v>
      </c>
      <c r="G19" s="60" t="s">
        <v>442</v>
      </c>
      <c r="H19" s="60" t="s">
        <v>443</v>
      </c>
    </row>
    <row r="20" spans="1:8" ht="20.100000000000001" customHeight="1" x14ac:dyDescent="0.25">
      <c r="A20" s="59" t="s">
        <v>444</v>
      </c>
      <c r="B20" s="59" t="s">
        <v>445</v>
      </c>
      <c r="C20" s="59" t="s">
        <v>357</v>
      </c>
      <c r="D20" s="59" t="s">
        <v>446</v>
      </c>
      <c r="E20" s="45" t="s">
        <v>142</v>
      </c>
      <c r="F20" s="59" t="s">
        <v>359</v>
      </c>
      <c r="G20" s="59" t="s">
        <v>447</v>
      </c>
      <c r="H20" s="59" t="s">
        <v>448</v>
      </c>
    </row>
    <row r="21" spans="1:8" ht="20.100000000000001" customHeight="1" x14ac:dyDescent="0.25">
      <c r="A21" s="60" t="s">
        <v>449</v>
      </c>
      <c r="B21" s="60" t="s">
        <v>450</v>
      </c>
      <c r="C21" s="60" t="s">
        <v>357</v>
      </c>
      <c r="D21" s="60" t="s">
        <v>451</v>
      </c>
      <c r="E21" s="44" t="s">
        <v>108</v>
      </c>
      <c r="F21" s="60" t="s">
        <v>387</v>
      </c>
      <c r="G21" s="60" t="s">
        <v>452</v>
      </c>
      <c r="H21" s="60"/>
    </row>
    <row r="22" spans="1:8" ht="20.100000000000001" customHeight="1" x14ac:dyDescent="0.25">
      <c r="A22" s="59" t="s">
        <v>453</v>
      </c>
      <c r="B22" s="59" t="s">
        <v>454</v>
      </c>
      <c r="C22" s="59" t="s">
        <v>357</v>
      </c>
      <c r="D22" s="59" t="s">
        <v>455</v>
      </c>
      <c r="E22" s="46" t="s">
        <v>166</v>
      </c>
      <c r="F22" s="59" t="s">
        <v>456</v>
      </c>
      <c r="G22" s="59" t="s">
        <v>457</v>
      </c>
      <c r="H22" s="59" t="s">
        <v>458</v>
      </c>
    </row>
    <row r="23" spans="1:8" ht="20.100000000000001" customHeight="1" x14ac:dyDescent="0.25">
      <c r="A23" s="60" t="s">
        <v>459</v>
      </c>
      <c r="B23" s="60" t="s">
        <v>460</v>
      </c>
      <c r="C23" s="60" t="s">
        <v>357</v>
      </c>
      <c r="D23" s="60" t="s">
        <v>461</v>
      </c>
      <c r="E23" s="43" t="s">
        <v>74</v>
      </c>
      <c r="F23" s="60" t="s">
        <v>359</v>
      </c>
      <c r="G23" s="60" t="s">
        <v>462</v>
      </c>
      <c r="H23" s="60" t="s">
        <v>463</v>
      </c>
    </row>
    <row r="24" spans="1:8" x14ac:dyDescent="0.25">
      <c r="A24" s="61"/>
      <c r="B24" s="61"/>
      <c r="C24" s="61"/>
      <c r="D24" s="61"/>
      <c r="E24" s="61"/>
      <c r="F24" s="61"/>
      <c r="G24" s="61"/>
      <c r="H24" s="61"/>
    </row>
    <row r="25" spans="1:8" x14ac:dyDescent="0.25">
      <c r="A25" s="61"/>
      <c r="B25" s="61"/>
      <c r="C25" s="61"/>
      <c r="D25" s="61"/>
      <c r="E25" s="61"/>
      <c r="F25" s="61"/>
      <c r="G25" s="61"/>
      <c r="H25" s="61"/>
    </row>
    <row r="26" spans="1:8" x14ac:dyDescent="0.25">
      <c r="A26" s="61"/>
      <c r="B26" s="61"/>
      <c r="C26" s="61"/>
      <c r="D26" s="61"/>
      <c r="E26" s="61"/>
      <c r="F26" s="61"/>
      <c r="G26" s="61"/>
      <c r="H26" s="61"/>
    </row>
    <row r="27" spans="1:8" x14ac:dyDescent="0.25">
      <c r="A27" s="61"/>
      <c r="B27" s="61"/>
      <c r="C27" s="61"/>
      <c r="D27" s="61"/>
      <c r="E27" s="61"/>
      <c r="F27" s="61"/>
      <c r="G27" s="61"/>
      <c r="H27" s="61"/>
    </row>
    <row r="28" spans="1:8" x14ac:dyDescent="0.25">
      <c r="A28" s="61"/>
      <c r="B28" s="61"/>
      <c r="C28" s="61"/>
      <c r="D28" s="61"/>
      <c r="E28" s="61"/>
      <c r="F28" s="61"/>
      <c r="G28" s="61"/>
      <c r="H28" s="61"/>
    </row>
    <row r="29" spans="1:8" x14ac:dyDescent="0.25">
      <c r="A29" s="61"/>
      <c r="B29" s="61"/>
      <c r="C29" s="61"/>
      <c r="D29" s="61"/>
      <c r="E29" s="61"/>
      <c r="F29" s="61"/>
      <c r="G29" s="61"/>
      <c r="H29" s="61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8" customWidth="1"/>
    <col min="2" max="2" width="20" customWidth="1"/>
    <col min="3" max="3" width="42" customWidth="1"/>
    <col min="4" max="4" width="16" customWidth="1"/>
    <col min="5" max="6" width="14" customWidth="1"/>
    <col min="7" max="7" width="25" customWidth="1"/>
    <col min="8" max="8" width="14" customWidth="1"/>
    <col min="9" max="9" width="25" customWidth="1"/>
  </cols>
  <sheetData>
    <row r="1" spans="1:9" ht="35.1" customHeight="1" x14ac:dyDescent="0.25">
      <c r="A1" s="82" t="s">
        <v>464</v>
      </c>
      <c r="B1" s="74"/>
      <c r="C1" s="74"/>
      <c r="D1" s="74"/>
      <c r="E1" s="74"/>
      <c r="F1" s="74"/>
      <c r="G1" s="74"/>
      <c r="H1" s="74"/>
      <c r="I1" s="74"/>
    </row>
    <row r="2" spans="1:9" ht="8.1" customHeight="1" x14ac:dyDescent="0.25"/>
    <row r="3" spans="1:9" ht="21.95" customHeight="1" x14ac:dyDescent="0.25">
      <c r="A3" s="1" t="s">
        <v>465</v>
      </c>
      <c r="B3" s="1" t="s">
        <v>3</v>
      </c>
      <c r="C3" s="1" t="s">
        <v>466</v>
      </c>
      <c r="D3" s="1" t="s">
        <v>351</v>
      </c>
      <c r="E3" s="1" t="s">
        <v>212</v>
      </c>
      <c r="F3" s="1" t="s">
        <v>7</v>
      </c>
      <c r="G3" s="1" t="s">
        <v>467</v>
      </c>
      <c r="H3" s="1" t="s">
        <v>468</v>
      </c>
      <c r="I3" s="1" t="s">
        <v>15</v>
      </c>
    </row>
    <row r="4" spans="1:9" ht="20.100000000000001" customHeight="1" x14ac:dyDescent="0.25">
      <c r="A4" s="3" t="s">
        <v>469</v>
      </c>
      <c r="B4" s="40" t="s">
        <v>16</v>
      </c>
      <c r="C4" s="41" t="s">
        <v>470</v>
      </c>
      <c r="D4" s="3" t="s">
        <v>471</v>
      </c>
      <c r="E4" s="3" t="s">
        <v>218</v>
      </c>
      <c r="F4" s="5" t="s">
        <v>20</v>
      </c>
      <c r="G4" s="41" t="s">
        <v>218</v>
      </c>
      <c r="H4" s="3"/>
      <c r="I4" s="41"/>
    </row>
    <row r="5" spans="1:9" ht="20.100000000000001" customHeight="1" x14ac:dyDescent="0.25">
      <c r="A5" s="7" t="s">
        <v>472</v>
      </c>
      <c r="B5" s="40" t="s">
        <v>16</v>
      </c>
      <c r="C5" s="42" t="s">
        <v>473</v>
      </c>
      <c r="D5" s="7" t="s">
        <v>471</v>
      </c>
      <c r="E5" s="7" t="s">
        <v>218</v>
      </c>
      <c r="F5" s="5" t="s">
        <v>20</v>
      </c>
      <c r="G5" s="42" t="s">
        <v>218</v>
      </c>
      <c r="H5" s="7"/>
      <c r="I5" s="42"/>
    </row>
    <row r="6" spans="1:9" ht="20.100000000000001" customHeight="1" x14ac:dyDescent="0.25">
      <c r="A6" s="3" t="s">
        <v>474</v>
      </c>
      <c r="B6" s="40" t="s">
        <v>16</v>
      </c>
      <c r="C6" s="41" t="s">
        <v>475</v>
      </c>
      <c r="D6" s="3" t="s">
        <v>471</v>
      </c>
      <c r="E6" s="3" t="s">
        <v>218</v>
      </c>
      <c r="F6" s="5" t="s">
        <v>20</v>
      </c>
      <c r="G6" s="41" t="s">
        <v>218</v>
      </c>
      <c r="H6" s="3"/>
      <c r="I6" s="41"/>
    </row>
    <row r="7" spans="1:9" ht="20.100000000000001" customHeight="1" x14ac:dyDescent="0.25">
      <c r="A7" s="7" t="s">
        <v>476</v>
      </c>
      <c r="B7" s="43" t="s">
        <v>74</v>
      </c>
      <c r="C7" s="42" t="s">
        <v>477</v>
      </c>
      <c r="D7" s="7" t="s">
        <v>471</v>
      </c>
      <c r="E7" s="7" t="s">
        <v>218</v>
      </c>
      <c r="F7" s="5" t="s">
        <v>20</v>
      </c>
      <c r="G7" s="42" t="s">
        <v>218</v>
      </c>
      <c r="H7" s="7"/>
      <c r="I7" s="42"/>
    </row>
    <row r="8" spans="1:9" ht="20.100000000000001" customHeight="1" x14ac:dyDescent="0.25">
      <c r="A8" s="3" t="s">
        <v>478</v>
      </c>
      <c r="B8" s="43" t="s">
        <v>74</v>
      </c>
      <c r="C8" s="41" t="s">
        <v>479</v>
      </c>
      <c r="D8" s="3" t="s">
        <v>471</v>
      </c>
      <c r="E8" s="3" t="s">
        <v>218</v>
      </c>
      <c r="F8" s="5" t="s">
        <v>20</v>
      </c>
      <c r="G8" s="41" t="s">
        <v>218</v>
      </c>
      <c r="H8" s="3"/>
      <c r="I8" s="41"/>
    </row>
    <row r="9" spans="1:9" ht="20.100000000000001" customHeight="1" x14ac:dyDescent="0.25">
      <c r="A9" s="7" t="s">
        <v>480</v>
      </c>
      <c r="B9" s="44" t="s">
        <v>108</v>
      </c>
      <c r="C9" s="42" t="s">
        <v>481</v>
      </c>
      <c r="D9" s="7" t="s">
        <v>471</v>
      </c>
      <c r="E9" s="7" t="s">
        <v>218</v>
      </c>
      <c r="F9" s="5" t="s">
        <v>20</v>
      </c>
      <c r="G9" s="42" t="s">
        <v>218</v>
      </c>
      <c r="H9" s="7"/>
      <c r="I9" s="42"/>
    </row>
    <row r="10" spans="1:9" ht="20.100000000000001" customHeight="1" x14ac:dyDescent="0.25">
      <c r="A10" s="3" t="s">
        <v>482</v>
      </c>
      <c r="B10" s="44" t="s">
        <v>108</v>
      </c>
      <c r="C10" s="41" t="s">
        <v>483</v>
      </c>
      <c r="D10" s="3" t="s">
        <v>484</v>
      </c>
      <c r="E10" s="3" t="s">
        <v>218</v>
      </c>
      <c r="F10" s="5" t="s">
        <v>20</v>
      </c>
      <c r="G10" s="41" t="s">
        <v>218</v>
      </c>
      <c r="H10" s="3"/>
      <c r="I10" s="41"/>
    </row>
    <row r="11" spans="1:9" ht="20.100000000000001" customHeight="1" x14ac:dyDescent="0.25">
      <c r="A11" s="7" t="s">
        <v>485</v>
      </c>
      <c r="B11" s="45" t="s">
        <v>142</v>
      </c>
      <c r="C11" s="42" t="s">
        <v>486</v>
      </c>
      <c r="D11" s="7" t="s">
        <v>487</v>
      </c>
      <c r="E11" s="7" t="s">
        <v>218</v>
      </c>
      <c r="F11" s="5" t="s">
        <v>20</v>
      </c>
      <c r="G11" s="42" t="s">
        <v>218</v>
      </c>
      <c r="H11" s="7"/>
      <c r="I11" s="42"/>
    </row>
    <row r="12" spans="1:9" ht="20.100000000000001" customHeight="1" x14ac:dyDescent="0.25">
      <c r="A12" s="3" t="s">
        <v>488</v>
      </c>
      <c r="B12" s="45" t="s">
        <v>142</v>
      </c>
      <c r="C12" s="41" t="s">
        <v>489</v>
      </c>
      <c r="D12" s="3" t="s">
        <v>487</v>
      </c>
      <c r="E12" s="3" t="s">
        <v>218</v>
      </c>
      <c r="F12" s="5" t="s">
        <v>20</v>
      </c>
      <c r="G12" s="41" t="s">
        <v>218</v>
      </c>
      <c r="H12" s="3"/>
      <c r="I12" s="41"/>
    </row>
    <row r="13" spans="1:9" ht="20.100000000000001" customHeight="1" x14ac:dyDescent="0.25">
      <c r="A13" s="7" t="s">
        <v>490</v>
      </c>
      <c r="B13" s="45" t="s">
        <v>142</v>
      </c>
      <c r="C13" s="42" t="s">
        <v>491</v>
      </c>
      <c r="D13" s="7" t="s">
        <v>487</v>
      </c>
      <c r="E13" s="7" t="s">
        <v>218</v>
      </c>
      <c r="F13" s="5" t="s">
        <v>20</v>
      </c>
      <c r="G13" s="42" t="s">
        <v>218</v>
      </c>
      <c r="H13" s="7"/>
      <c r="I13" s="42"/>
    </row>
    <row r="14" spans="1:9" ht="20.100000000000001" customHeight="1" x14ac:dyDescent="0.25">
      <c r="A14" s="3" t="s">
        <v>492</v>
      </c>
      <c r="B14" s="46" t="s">
        <v>166</v>
      </c>
      <c r="C14" s="41" t="s">
        <v>493</v>
      </c>
      <c r="D14" s="3" t="s">
        <v>494</v>
      </c>
      <c r="E14" s="3" t="s">
        <v>218</v>
      </c>
      <c r="F14" s="5" t="s">
        <v>20</v>
      </c>
      <c r="G14" s="41" t="s">
        <v>218</v>
      </c>
      <c r="H14" s="3"/>
      <c r="I14" s="41"/>
    </row>
    <row r="15" spans="1:9" ht="20.100000000000001" customHeight="1" x14ac:dyDescent="0.25">
      <c r="A15" s="7" t="s">
        <v>495</v>
      </c>
      <c r="B15" s="46" t="s">
        <v>166</v>
      </c>
      <c r="C15" s="42" t="s">
        <v>496</v>
      </c>
      <c r="D15" s="7" t="s">
        <v>494</v>
      </c>
      <c r="E15" s="7" t="s">
        <v>218</v>
      </c>
      <c r="F15" s="5" t="s">
        <v>20</v>
      </c>
      <c r="G15" s="42" t="s">
        <v>218</v>
      </c>
      <c r="H15" s="7"/>
      <c r="I15" s="42"/>
    </row>
    <row r="16" spans="1:9" ht="20.100000000000001" customHeight="1" x14ac:dyDescent="0.25">
      <c r="A16" s="3" t="s">
        <v>497</v>
      </c>
      <c r="B16" s="47" t="s">
        <v>186</v>
      </c>
      <c r="C16" s="41" t="s">
        <v>498</v>
      </c>
      <c r="D16" s="3" t="s">
        <v>499</v>
      </c>
      <c r="E16" s="3" t="s">
        <v>218</v>
      </c>
      <c r="F16" s="5" t="s">
        <v>20</v>
      </c>
      <c r="G16" s="41" t="s">
        <v>218</v>
      </c>
      <c r="H16" s="3"/>
      <c r="I16" s="41"/>
    </row>
    <row r="17" spans="1:9" ht="20.100000000000001" customHeight="1" x14ac:dyDescent="0.25">
      <c r="A17" s="7" t="s">
        <v>500</v>
      </c>
      <c r="B17" s="47" t="s">
        <v>186</v>
      </c>
      <c r="C17" s="42" t="s">
        <v>501</v>
      </c>
      <c r="D17" s="7" t="s">
        <v>502</v>
      </c>
      <c r="E17" s="7" t="s">
        <v>218</v>
      </c>
      <c r="F17" s="5" t="s">
        <v>20</v>
      </c>
      <c r="G17" s="42" t="s">
        <v>218</v>
      </c>
      <c r="H17" s="7"/>
      <c r="I17" s="42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4" width="20" customWidth="1"/>
    <col min="5" max="5" width="50" customWidth="1"/>
    <col min="6" max="6" width="20" customWidth="1"/>
    <col min="7" max="7" width="25" customWidth="1"/>
  </cols>
  <sheetData>
    <row r="1" spans="1:7" ht="35.1" customHeight="1" x14ac:dyDescent="0.25">
      <c r="A1" s="82" t="s">
        <v>503</v>
      </c>
      <c r="B1" s="74"/>
      <c r="C1" s="74"/>
      <c r="D1" s="74"/>
      <c r="E1" s="74"/>
      <c r="F1" s="74"/>
      <c r="G1" s="74"/>
    </row>
    <row r="2" spans="1:7" ht="8.1" customHeight="1" x14ac:dyDescent="0.25"/>
    <row r="3" spans="1:7" ht="21.95" customHeight="1" x14ac:dyDescent="0.25">
      <c r="A3" s="1" t="s">
        <v>504</v>
      </c>
      <c r="B3" s="1" t="s">
        <v>505</v>
      </c>
      <c r="C3" s="1" t="s">
        <v>506</v>
      </c>
      <c r="D3" s="1" t="s">
        <v>3</v>
      </c>
      <c r="E3" s="1" t="s">
        <v>507</v>
      </c>
      <c r="F3" s="1" t="s">
        <v>508</v>
      </c>
      <c r="G3" s="1" t="s">
        <v>15</v>
      </c>
    </row>
    <row r="4" spans="1:7" ht="20.100000000000001" customHeight="1" x14ac:dyDescent="0.25">
      <c r="A4" s="42" t="s">
        <v>509</v>
      </c>
      <c r="B4" s="42" t="s">
        <v>510</v>
      </c>
      <c r="C4" s="42" t="s">
        <v>164</v>
      </c>
      <c r="D4" s="42" t="s">
        <v>511</v>
      </c>
      <c r="E4" s="42" t="s">
        <v>512</v>
      </c>
      <c r="F4" s="42" t="s">
        <v>218</v>
      </c>
      <c r="G4" s="42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Project Overview</vt:lpstr>
      <vt:lpstr>Risk Register</vt:lpstr>
      <vt:lpstr>Control List</vt:lpstr>
      <vt:lpstr>Resources and Personnel</vt:lpstr>
      <vt:lpstr>RACI Matrix</vt:lpstr>
      <vt:lpstr>Stack</vt:lpstr>
      <vt:lpstr>Documentation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Boa</cp:lastModifiedBy>
  <dcterms:created xsi:type="dcterms:W3CDTF">2026-03-06T17:28:37Z</dcterms:created>
  <dcterms:modified xsi:type="dcterms:W3CDTF">2026-03-09T15:53:46Z</dcterms:modified>
</cp:coreProperties>
</file>